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Research_2025/workspace/simulation/"/>
    </mc:Choice>
  </mc:AlternateContent>
  <xr:revisionPtr revIDLastSave="195" documentId="13_ncr:1_{1817971C-6145-4DC3-97F7-CF087245E2A5}" xr6:coauthVersionLast="47" xr6:coauthVersionMax="47" xr10:uidLastSave="{C86A82A5-D11C-4989-8FA8-665700810481}"/>
  <bookViews>
    <workbookView xWindow="-110" yWindow="-110" windowWidth="25820" windowHeight="15500" tabRatio="988" activeTab="5" xr2:uid="{00000000-000D-0000-FFFF-FFFF00000000}"/>
  </bookViews>
  <sheets>
    <sheet name="Index" sheetId="1" r:id="rId1"/>
    <sheet name="sval" sheetId="22" r:id="rId2"/>
    <sheet name="prod_alt" sheetId="2" r:id="rId3"/>
    <sheet name="land_endw" sheetId="3" r:id="rId4"/>
    <sheet name="land_dsrt" sheetId="4" r:id="rId5"/>
    <sheet name="head" sheetId="21" r:id="rId6"/>
    <sheet name="fdemand" sheetId="14" r:id="rId7"/>
    <sheet name="fsupply" sheetId="15" r:id="rId8"/>
    <sheet name="fconst_imp" sheetId="16" r:id="rId9"/>
    <sheet name="edemand" sheetId="9" r:id="rId10"/>
    <sheet name="esupply" sheetId="10" r:id="rId11"/>
    <sheet name="fertcoef" sheetId="11" r:id="rId12"/>
    <sheet name="ldemand_c" sheetId="12" r:id="rId13"/>
    <sheet name="ldemand_l" sheetId="13" r:id="rId14"/>
    <sheet name="pop" sheetId="24" r:id="rId15"/>
    <sheet name="intake" sheetId="23" r:id="rId16"/>
    <sheet name="nvalue" sheetId="18" r:id="rId17"/>
    <sheet name="npcvalue" sheetId="25" r:id="rId18"/>
  </sheets>
  <definedNames>
    <definedName name="_xlnm.Print_Area" localSheetId="17">npcvalue!$A$1:$E$21</definedName>
    <definedName name="_xlnm.Print_Area" localSheetId="16">nvalue!$A$1:$E$21</definedName>
    <definedName name="_xlnm.Print_Area" localSheetId="2">prod_alt!$A$1:$R$21</definedName>
    <definedName name="のりれ" localSheetId="15">#REF!</definedName>
    <definedName name="のりれ" localSheetId="17">#REF!</definedName>
    <definedName name="のりれ" localSheetId="16">#REF!</definedName>
    <definedName name="のりれ">#REF!</definedName>
    <definedName name="作付面積" localSheetId="15">#REF!</definedName>
    <definedName name="作付面積" localSheetId="17">#REF!</definedName>
    <definedName name="作付面積" localSheetId="16">#REF!</definedName>
    <definedName name="作付面積">#REF!</definedName>
    <definedName name="収穫量" localSheetId="15">#REF!</definedName>
    <definedName name="収穫量" localSheetId="17">#REF!</definedName>
    <definedName name="収穫量" localSheetId="16">#REF!</definedName>
    <definedName name="収穫量">#REF!</definedName>
    <definedName name="単収" localSheetId="15">#REF!</definedName>
    <definedName name="単収" localSheetId="17">#REF!</definedName>
    <definedName name="単収" localSheetId="16">#REF!</definedName>
    <definedName name="単収">#REF!</definedName>
    <definedName name="陸作付面積" localSheetId="15">#REF!</definedName>
    <definedName name="陸作付面積" localSheetId="17">#REF!</definedName>
    <definedName name="陸作付面積" localSheetId="16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5" l="1"/>
  <c r="E20" i="25"/>
  <c r="E19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2" i="25"/>
  <c r="BK4" i="23"/>
  <c r="B4" i="23"/>
  <c r="E21" i="18"/>
  <c r="E20" i="18"/>
  <c r="E19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</calcChain>
</file>

<file path=xl/sharedStrings.xml><?xml version="1.0" encoding="utf-8"?>
<sst xmlns="http://schemas.openxmlformats.org/spreadsheetml/2006/main" count="834" uniqueCount="271">
  <si>
    <t>area</t>
    <phoneticPr fontId="9"/>
  </si>
  <si>
    <t>yield</t>
    <phoneticPr fontId="9"/>
  </si>
  <si>
    <t>prod</t>
    <phoneticPr fontId="9"/>
  </si>
  <si>
    <t>import</t>
    <phoneticPr fontId="9"/>
  </si>
  <si>
    <t>export</t>
    <phoneticPr fontId="9"/>
  </si>
  <si>
    <t>stock</t>
    <phoneticPr fontId="9"/>
  </si>
  <si>
    <t>total</t>
    <phoneticPr fontId="9"/>
  </si>
  <si>
    <t>feed</t>
    <phoneticPr fontId="9"/>
  </si>
  <si>
    <t>seed</t>
    <phoneticPr fontId="9"/>
  </si>
  <si>
    <t>processing</t>
    <phoneticPr fontId="9"/>
  </si>
  <si>
    <t>passenger</t>
    <phoneticPr fontId="6"/>
  </si>
  <si>
    <t>wear</t>
    <phoneticPr fontId="9"/>
  </si>
  <si>
    <t>gross</t>
    <phoneticPr fontId="9"/>
  </si>
  <si>
    <t>g2n</t>
    <phoneticPr fontId="9"/>
  </si>
  <si>
    <t>net</t>
    <phoneticPr fontId="9"/>
  </si>
  <si>
    <t>rice</t>
    <phoneticPr fontId="9"/>
  </si>
  <si>
    <t>wheat</t>
    <phoneticPr fontId="9"/>
  </si>
  <si>
    <t>pwheat</t>
    <phoneticPr fontId="9"/>
  </si>
  <si>
    <t>barley</t>
    <phoneticPr fontId="9"/>
  </si>
  <si>
    <t>pbarley</t>
    <phoneticPr fontId="9"/>
  </si>
  <si>
    <t>naked</t>
    <phoneticPr fontId="9"/>
  </si>
  <si>
    <t>corn</t>
    <phoneticPr fontId="9"/>
  </si>
  <si>
    <t>sorghum</t>
    <phoneticPr fontId="9"/>
  </si>
  <si>
    <t>mis_grains</t>
    <phoneticPr fontId="9"/>
  </si>
  <si>
    <t>sweetp</t>
    <phoneticPr fontId="9"/>
  </si>
  <si>
    <t>psweetp</t>
    <phoneticPr fontId="9"/>
  </si>
  <si>
    <t>potato</t>
    <phoneticPr fontId="9"/>
  </si>
  <si>
    <t>ppotato</t>
    <phoneticPr fontId="9"/>
  </si>
  <si>
    <t>soy</t>
    <phoneticPr fontId="9"/>
  </si>
  <si>
    <t>psoy</t>
    <phoneticPr fontId="9"/>
  </si>
  <si>
    <t>mis_beans</t>
    <phoneticPr fontId="9"/>
  </si>
  <si>
    <t>veges</t>
    <phoneticPr fontId="9"/>
  </si>
  <si>
    <t>mandarin</t>
    <phoneticPr fontId="9"/>
  </si>
  <si>
    <t>apple</t>
    <phoneticPr fontId="9"/>
  </si>
  <si>
    <t>mis_fruits</t>
    <phoneticPr fontId="9"/>
  </si>
  <si>
    <t>scane</t>
    <phoneticPr fontId="9"/>
  </si>
  <si>
    <t>sbeat</t>
    <phoneticPr fontId="9"/>
  </si>
  <si>
    <t>rapeseed</t>
    <phoneticPr fontId="9"/>
  </si>
  <si>
    <t>starch</t>
    <phoneticPr fontId="9"/>
  </si>
  <si>
    <t>fish</t>
    <phoneticPr fontId="9"/>
  </si>
  <si>
    <t>seaweed</t>
    <phoneticPr fontId="9"/>
  </si>
  <si>
    <t>sugar</t>
    <phoneticPr fontId="9"/>
  </si>
  <si>
    <t>oil</t>
    <phoneticPr fontId="9"/>
  </si>
  <si>
    <t>miso</t>
    <phoneticPr fontId="9"/>
  </si>
  <si>
    <t>soysource</t>
    <phoneticPr fontId="9"/>
  </si>
  <si>
    <t>mis_foods</t>
    <phoneticPr fontId="9"/>
  </si>
  <si>
    <t>beef</t>
  </si>
  <si>
    <t>pork</t>
    <phoneticPr fontId="9"/>
  </si>
  <si>
    <t>chicken</t>
    <phoneticPr fontId="9"/>
  </si>
  <si>
    <t>egg</t>
    <phoneticPr fontId="9"/>
  </si>
  <si>
    <t>milk</t>
    <phoneticPr fontId="9"/>
  </si>
  <si>
    <t>paddy_wet</t>
    <phoneticPr fontId="9"/>
  </si>
  <si>
    <t>paddy_dry</t>
    <phoneticPr fontId="9"/>
  </si>
  <si>
    <t>field_rain</t>
    <phoneticPr fontId="9"/>
  </si>
  <si>
    <t>field_irr</t>
    <phoneticPr fontId="9"/>
  </si>
  <si>
    <t>orchard</t>
    <phoneticPr fontId="9"/>
  </si>
  <si>
    <t>pasture</t>
    <phoneticPr fontId="9"/>
  </si>
  <si>
    <t>Hokkaido</t>
    <phoneticPr fontId="9"/>
  </si>
  <si>
    <t>Tohoku_Hokuriku</t>
    <phoneticPr fontId="9"/>
  </si>
  <si>
    <t>Kanto_West</t>
    <phoneticPr fontId="9"/>
  </si>
  <si>
    <t>Okinawa</t>
    <phoneticPr fontId="9"/>
  </si>
  <si>
    <t>paddy_dsrt</t>
    <phoneticPr fontId="9"/>
  </si>
  <si>
    <t>field_dsrt</t>
    <phoneticPr fontId="9"/>
  </si>
  <si>
    <t>nitrogen</t>
  </si>
  <si>
    <t>phosphate</t>
  </si>
  <si>
    <t>kalium</t>
  </si>
  <si>
    <t>rice</t>
    <phoneticPr fontId="8"/>
  </si>
  <si>
    <t>wheat</t>
    <phoneticPr fontId="8"/>
  </si>
  <si>
    <t>pwheat</t>
    <phoneticPr fontId="8"/>
  </si>
  <si>
    <t>barley</t>
    <phoneticPr fontId="8"/>
  </si>
  <si>
    <t>pbarley</t>
    <phoneticPr fontId="8"/>
  </si>
  <si>
    <t>naked</t>
    <phoneticPr fontId="8"/>
  </si>
  <si>
    <t>mis_grains</t>
    <phoneticPr fontId="8"/>
  </si>
  <si>
    <t>sweetp</t>
    <phoneticPr fontId="8"/>
  </si>
  <si>
    <t>psweetp</t>
    <phoneticPr fontId="8"/>
  </si>
  <si>
    <t>potato</t>
    <phoneticPr fontId="8"/>
  </si>
  <si>
    <t>ppotato</t>
    <phoneticPr fontId="8"/>
  </si>
  <si>
    <t>soy</t>
    <phoneticPr fontId="8"/>
  </si>
  <si>
    <t>psoy</t>
    <phoneticPr fontId="8"/>
  </si>
  <si>
    <t>mis_beans</t>
    <phoneticPr fontId="8"/>
  </si>
  <si>
    <t>veges</t>
    <phoneticPr fontId="8"/>
  </si>
  <si>
    <t>mandarin</t>
    <phoneticPr fontId="8"/>
  </si>
  <si>
    <t>apple</t>
    <phoneticPr fontId="8"/>
  </si>
  <si>
    <t>mis_fruits</t>
    <phoneticPr fontId="8"/>
  </si>
  <si>
    <t>scane</t>
  </si>
  <si>
    <t>sbeat</t>
    <phoneticPr fontId="8"/>
  </si>
  <si>
    <t>rapeseed</t>
    <phoneticPr fontId="8"/>
  </si>
  <si>
    <t xml:space="preserve">corn </t>
    <phoneticPr fontId="8"/>
  </si>
  <si>
    <t>sorghum</t>
    <phoneticPr fontId="8"/>
  </si>
  <si>
    <t>prod</t>
    <phoneticPr fontId="8"/>
  </si>
  <si>
    <t>import</t>
    <phoneticPr fontId="8"/>
  </si>
  <si>
    <t>slope</t>
    <phoneticPr fontId="9"/>
  </si>
  <si>
    <t>intercept</t>
    <phoneticPr fontId="9"/>
  </si>
  <si>
    <t>max</t>
    <phoneticPr fontId="9"/>
  </si>
  <si>
    <t>mis_grains</t>
  </si>
  <si>
    <t>sweetp</t>
  </si>
  <si>
    <t>scane</t>
    <phoneticPr fontId="8"/>
  </si>
  <si>
    <t>rapeseed</t>
  </si>
  <si>
    <t>corn</t>
    <phoneticPr fontId="8"/>
  </si>
  <si>
    <t>sorghum</t>
  </si>
  <si>
    <t>dairyox</t>
  </si>
  <si>
    <t>heifer</t>
  </si>
  <si>
    <t>calves</t>
  </si>
  <si>
    <t>swine</t>
  </si>
  <si>
    <t>broiler</t>
  </si>
  <si>
    <t>layinghens</t>
  </si>
  <si>
    <t>dairycow</t>
  </si>
  <si>
    <t>tdn</t>
    <phoneticPr fontId="9"/>
  </si>
  <si>
    <t>cp_low</t>
    <phoneticPr fontId="9"/>
  </si>
  <si>
    <t>cp_mid</t>
    <phoneticPr fontId="9"/>
  </si>
  <si>
    <t>cp_high</t>
    <phoneticPr fontId="9"/>
  </si>
  <si>
    <t>dairycow</t>
    <phoneticPr fontId="9"/>
  </si>
  <si>
    <t>calves</t>
    <phoneticPr fontId="9"/>
  </si>
  <si>
    <t>fodder</t>
    <phoneticPr fontId="9"/>
  </si>
  <si>
    <t>ricestraw</t>
    <phoneticPr fontId="9"/>
  </si>
  <si>
    <t>wheatstraw</t>
    <phoneticPr fontId="9"/>
  </si>
  <si>
    <t>potatovines</t>
    <phoneticPr fontId="9"/>
  </si>
  <si>
    <t xml:space="preserve"> ricebran</t>
    <phoneticPr fontId="9"/>
  </si>
  <si>
    <t>wheatbran</t>
    <phoneticPr fontId="9"/>
  </si>
  <si>
    <t>soybeancake</t>
    <phoneticPr fontId="9"/>
  </si>
  <si>
    <t>rapeseedcake</t>
    <phoneticPr fontId="9"/>
  </si>
  <si>
    <t>beetpulp</t>
    <phoneticPr fontId="9"/>
  </si>
  <si>
    <t>molasses</t>
    <phoneticPr fontId="9"/>
  </si>
  <si>
    <t>bagasse</t>
    <phoneticPr fontId="9"/>
  </si>
  <si>
    <t>meatbonemeal</t>
    <phoneticPr fontId="9"/>
  </si>
  <si>
    <t>fishmeal</t>
    <phoneticPr fontId="9"/>
  </si>
  <si>
    <t>corn</t>
  </si>
  <si>
    <t>wheat</t>
  </si>
  <si>
    <t>barley</t>
  </si>
  <si>
    <t>rice</t>
  </si>
  <si>
    <t>cp</t>
    <phoneticPr fontId="9"/>
  </si>
  <si>
    <t>dairyox</t>
    <phoneticPr fontId="9"/>
  </si>
  <si>
    <t>heifer</t>
    <phoneticPr fontId="9"/>
  </si>
  <si>
    <t>swine</t>
    <phoneticPr fontId="9"/>
  </si>
  <si>
    <t>stock</t>
  </si>
  <si>
    <t>import</t>
  </si>
  <si>
    <t>presupply</t>
  </si>
  <si>
    <t>const</t>
  </si>
  <si>
    <t>fodder</t>
  </si>
  <si>
    <t>ricestraw</t>
  </si>
  <si>
    <t>wheatstraw</t>
  </si>
  <si>
    <t>potatovines</t>
  </si>
  <si>
    <t>ricebran</t>
  </si>
  <si>
    <t>wheatbran</t>
  </si>
  <si>
    <t>rapeseedcake</t>
  </si>
  <si>
    <t>beetpulp</t>
  </si>
  <si>
    <t>molasses</t>
  </si>
  <si>
    <t>bagasse</t>
  </si>
  <si>
    <t>meatbonemeal</t>
  </si>
  <si>
    <t>male</t>
    <phoneticPr fontId="9"/>
  </si>
  <si>
    <t>female</t>
    <phoneticPr fontId="9"/>
  </si>
  <si>
    <t>calorie</t>
    <phoneticPr fontId="9"/>
  </si>
  <si>
    <t>protein</t>
    <phoneticPr fontId="9"/>
  </si>
  <si>
    <t>fat</t>
    <phoneticPr fontId="9"/>
  </si>
  <si>
    <t>carbonhydrate</t>
  </si>
  <si>
    <t>0-1</t>
    <phoneticPr fontId="9"/>
  </si>
  <si>
    <t>1-2</t>
    <phoneticPr fontId="9"/>
  </si>
  <si>
    <t>3-5</t>
    <phoneticPr fontId="9"/>
  </si>
  <si>
    <t>6-7</t>
    <phoneticPr fontId="9"/>
  </si>
  <si>
    <t>8-9</t>
    <phoneticPr fontId="9"/>
  </si>
  <si>
    <t>10-11</t>
    <phoneticPr fontId="9"/>
  </si>
  <si>
    <t>12-14</t>
    <phoneticPr fontId="9"/>
  </si>
  <si>
    <t>15-17</t>
    <phoneticPr fontId="9"/>
  </si>
  <si>
    <t>18-29</t>
    <phoneticPr fontId="9"/>
  </si>
  <si>
    <t>30-49</t>
    <phoneticPr fontId="9"/>
  </si>
  <si>
    <t>50-64</t>
    <phoneticPr fontId="9"/>
  </si>
  <si>
    <t>65-74</t>
    <phoneticPr fontId="9"/>
  </si>
  <si>
    <t>75-</t>
    <phoneticPr fontId="9"/>
  </si>
  <si>
    <t>par</t>
    <phoneticPr fontId="8"/>
  </si>
  <si>
    <t>data</t>
    <phoneticPr fontId="8"/>
  </si>
  <si>
    <t>prod_alt!a1:enh3582</t>
  </si>
  <si>
    <t xml:space="preserve">Rdim=1 </t>
  </si>
  <si>
    <t>Cdim=1</t>
    <phoneticPr fontId="8"/>
  </si>
  <si>
    <t>land_endw</t>
  </si>
  <si>
    <t>land_endw!a1:enh3582</t>
    <phoneticPr fontId="8"/>
  </si>
  <si>
    <t>land_dsrt</t>
  </si>
  <si>
    <t>land_dsrt!a1:enh3582</t>
  </si>
  <si>
    <t>edemand</t>
  </si>
  <si>
    <t>edemand!a1:enh3582</t>
  </si>
  <si>
    <t>esupply</t>
  </si>
  <si>
    <t>esupply!a1:enh3582</t>
    <phoneticPr fontId="8"/>
  </si>
  <si>
    <t>Cdim=2</t>
    <phoneticPr fontId="8"/>
  </si>
  <si>
    <t>fertcoef</t>
  </si>
  <si>
    <t>fertcoef!a1:enh3582</t>
  </si>
  <si>
    <t>ldemand_c</t>
  </si>
  <si>
    <t>ldemand_c!a1:enh3582</t>
    <phoneticPr fontId="8"/>
  </si>
  <si>
    <t>ldemand_l</t>
  </si>
  <si>
    <t>fdemand</t>
  </si>
  <si>
    <t>fdemand!a1:enh3582</t>
  </si>
  <si>
    <t>fsupply</t>
    <phoneticPr fontId="8"/>
  </si>
  <si>
    <t>fsupply!a1:enh3582</t>
    <phoneticPr fontId="8"/>
  </si>
  <si>
    <t>Rdim=2</t>
    <phoneticPr fontId="8"/>
  </si>
  <si>
    <t>fconst</t>
    <phoneticPr fontId="8"/>
  </si>
  <si>
    <t>fconst_imp!a1:enh3582</t>
  </si>
  <si>
    <t>intake</t>
  </si>
  <si>
    <t>intake!a1:enh3582</t>
  </si>
  <si>
    <t>nvalue</t>
  </si>
  <si>
    <t>DataType</t>
  </si>
  <si>
    <t>Symbol</t>
  </si>
  <si>
    <t>Range</t>
  </si>
  <si>
    <t>head</t>
  </si>
  <si>
    <t>par</t>
  </si>
  <si>
    <t xml:space="preserve">nvalue!a1:enh3582 </t>
    <phoneticPr fontId="8"/>
  </si>
  <si>
    <t xml:space="preserve">head!a1:enh3582 </t>
    <phoneticPr fontId="8"/>
  </si>
  <si>
    <t>sval</t>
    <phoneticPr fontId="8"/>
  </si>
  <si>
    <t xml:space="preserve">sval!a1:enh3582 </t>
    <phoneticPr fontId="8"/>
  </si>
  <si>
    <t>lsupply</t>
    <phoneticPr fontId="8"/>
  </si>
  <si>
    <t>culled</t>
  </si>
  <si>
    <t>lactating</t>
  </si>
  <si>
    <t>na</t>
  </si>
  <si>
    <t>na</t>
    <phoneticPr fontId="8"/>
  </si>
  <si>
    <t>k</t>
    <phoneticPr fontId="8"/>
  </si>
  <si>
    <t>ca</t>
  </si>
  <si>
    <t>ca</t>
    <phoneticPr fontId="8"/>
  </si>
  <si>
    <t>mg</t>
  </si>
  <si>
    <t>mg</t>
    <phoneticPr fontId="8"/>
  </si>
  <si>
    <t>p</t>
  </si>
  <si>
    <t>p</t>
    <phoneticPr fontId="8"/>
  </si>
  <si>
    <t>fe</t>
  </si>
  <si>
    <t>fe</t>
    <phoneticPr fontId="9"/>
  </si>
  <si>
    <t>zn</t>
  </si>
  <si>
    <t>zn</t>
    <phoneticPr fontId="9"/>
  </si>
  <si>
    <t>cu</t>
  </si>
  <si>
    <t>cu</t>
    <phoneticPr fontId="9"/>
  </si>
  <si>
    <t>mn</t>
  </si>
  <si>
    <t>mn</t>
    <phoneticPr fontId="8"/>
  </si>
  <si>
    <t>i</t>
  </si>
  <si>
    <t>i</t>
    <phoneticPr fontId="9"/>
  </si>
  <si>
    <t>se</t>
  </si>
  <si>
    <t>se</t>
    <phoneticPr fontId="8"/>
  </si>
  <si>
    <t>cr</t>
  </si>
  <si>
    <t>cr</t>
    <phoneticPr fontId="8"/>
  </si>
  <si>
    <t>mo</t>
  </si>
  <si>
    <t>mo</t>
    <phoneticPr fontId="8"/>
  </si>
  <si>
    <t>va</t>
  </si>
  <si>
    <t>va</t>
    <phoneticPr fontId="8"/>
  </si>
  <si>
    <t>vd</t>
  </si>
  <si>
    <t>vd</t>
    <phoneticPr fontId="8"/>
  </si>
  <si>
    <t>ve</t>
  </si>
  <si>
    <t>ve</t>
    <phoneticPr fontId="8"/>
  </si>
  <si>
    <t>vk</t>
    <phoneticPr fontId="8"/>
  </si>
  <si>
    <t>vb1</t>
  </si>
  <si>
    <t>vb1</t>
    <phoneticPr fontId="8"/>
  </si>
  <si>
    <t>vb2</t>
  </si>
  <si>
    <t>vb2</t>
    <phoneticPr fontId="8"/>
  </si>
  <si>
    <t>vb3</t>
  </si>
  <si>
    <t>vb3</t>
    <phoneticPr fontId="8"/>
  </si>
  <si>
    <t>vb6</t>
  </si>
  <si>
    <t>vb6</t>
    <phoneticPr fontId="8"/>
  </si>
  <si>
    <t>fo</t>
  </si>
  <si>
    <t>fo</t>
    <phoneticPr fontId="9"/>
  </si>
  <si>
    <t>pa</t>
    <phoneticPr fontId="9"/>
  </si>
  <si>
    <t>bi</t>
    <phoneticPr fontId="8"/>
  </si>
  <si>
    <t>vc</t>
  </si>
  <si>
    <t>vc</t>
    <phoneticPr fontId="8"/>
  </si>
  <si>
    <t>vb12</t>
    <phoneticPr fontId="8"/>
  </si>
  <si>
    <t>vk</t>
    <phoneticPr fontId="9"/>
  </si>
  <si>
    <t>vb12</t>
    <phoneticPr fontId="9"/>
  </si>
  <si>
    <t>bi</t>
    <phoneticPr fontId="9"/>
  </si>
  <si>
    <t>k</t>
    <phoneticPr fontId="9"/>
  </si>
  <si>
    <t>EAR</t>
    <phoneticPr fontId="9"/>
  </si>
  <si>
    <t>RDA</t>
    <phoneticPr fontId="9"/>
  </si>
  <si>
    <t>UL</t>
    <phoneticPr fontId="9"/>
  </si>
  <si>
    <t>AI</t>
    <phoneticPr fontId="9"/>
  </si>
  <si>
    <t>pop</t>
    <phoneticPr fontId="8"/>
  </si>
  <si>
    <t>ldemand_l!a1:enh3582</t>
    <phoneticPr fontId="8"/>
  </si>
  <si>
    <t>pop!a1:enh3582</t>
    <phoneticPr fontId="8"/>
  </si>
  <si>
    <t>Cdim=3</t>
    <phoneticPr fontId="8"/>
  </si>
  <si>
    <t>npcvalue</t>
    <phoneticPr fontId="8"/>
  </si>
  <si>
    <t xml:space="preserve">npcvalue!a1:enh3582 </t>
    <phoneticPr fontId="8"/>
  </si>
  <si>
    <t>supply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</si>
</sst>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_ "/>
    <numFmt numFmtId="177" formatCode="0.00_ "/>
    <numFmt numFmtId="178" formatCode="0.0"/>
    <numFmt numFmtId="179" formatCode="0.000_);[Red]\(0.000\)"/>
    <numFmt numFmtId="180" formatCode="0.0_ "/>
  </numFmts>
  <fonts count="1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Yu Gothic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2" fillId="0" borderId="0">
      <alignment vertical="center"/>
    </xf>
  </cellStyleXfs>
  <cellXfs count="56">
    <xf numFmtId="0" fontId="0" fillId="0" borderId="0" xfId="0"/>
    <xf numFmtId="0" fontId="5" fillId="0" borderId="0" xfId="1" applyAlignment="1">
      <alignment vertical="center" shrinkToFit="1"/>
    </xf>
    <xf numFmtId="0" fontId="7" fillId="0" borderId="0" xfId="1" applyFont="1" applyAlignment="1">
      <alignment vertical="center" shrinkToFit="1"/>
    </xf>
    <xf numFmtId="0" fontId="5" fillId="2" borderId="0" xfId="1" applyFill="1">
      <alignment vertical="center"/>
    </xf>
    <xf numFmtId="176" fontId="7" fillId="2" borderId="0" xfId="1" applyNumberFormat="1" applyFont="1" applyFill="1">
      <alignment vertical="center"/>
    </xf>
    <xf numFmtId="177" fontId="7" fillId="2" borderId="0" xfId="1" applyNumberFormat="1" applyFont="1" applyFill="1">
      <alignment vertical="center"/>
    </xf>
    <xf numFmtId="0" fontId="5" fillId="0" borderId="0" xfId="1">
      <alignment vertical="center"/>
    </xf>
    <xf numFmtId="176" fontId="5" fillId="2" borderId="0" xfId="1" applyNumberFormat="1" applyFill="1">
      <alignment vertical="center"/>
    </xf>
    <xf numFmtId="177" fontId="5" fillId="2" borderId="0" xfId="1" applyNumberFormat="1" applyFill="1">
      <alignment vertical="center"/>
    </xf>
    <xf numFmtId="178" fontId="5" fillId="0" borderId="0" xfId="1" applyNumberFormat="1">
      <alignment vertical="center"/>
    </xf>
    <xf numFmtId="1" fontId="5" fillId="0" borderId="0" xfId="1" applyNumberFormat="1">
      <alignment vertical="center"/>
    </xf>
    <xf numFmtId="0" fontId="5" fillId="3" borderId="0" xfId="1" applyFill="1">
      <alignment vertical="center"/>
    </xf>
    <xf numFmtId="2" fontId="5" fillId="0" borderId="0" xfId="1" applyNumberFormat="1">
      <alignment vertical="center"/>
    </xf>
    <xf numFmtId="3" fontId="0" fillId="0" borderId="0" xfId="0" applyNumberFormat="1"/>
    <xf numFmtId="0" fontId="5" fillId="0" borderId="0" xfId="1" applyAlignment="1"/>
    <xf numFmtId="9" fontId="5" fillId="0" borderId="0" xfId="1" applyNumberFormat="1">
      <alignment vertical="center"/>
    </xf>
    <xf numFmtId="0" fontId="5" fillId="0" borderId="1" xfId="1" applyBorder="1">
      <alignment vertical="center"/>
    </xf>
    <xf numFmtId="0" fontId="5" fillId="0" borderId="2" xfId="1" applyBorder="1">
      <alignment vertical="center"/>
    </xf>
    <xf numFmtId="0" fontId="5" fillId="0" borderId="3" xfId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10" fillId="0" borderId="0" xfId="2">
      <alignment vertical="center"/>
    </xf>
    <xf numFmtId="38" fontId="0" fillId="0" borderId="2" xfId="3" applyFont="1" applyBorder="1">
      <alignment vertical="center"/>
    </xf>
    <xf numFmtId="38" fontId="0" fillId="0" borderId="0" xfId="3" applyFont="1" applyBorder="1">
      <alignment vertical="center"/>
    </xf>
    <xf numFmtId="38" fontId="0" fillId="0" borderId="0" xfId="3" applyFont="1">
      <alignment vertical="center"/>
    </xf>
    <xf numFmtId="3" fontId="5" fillId="0" borderId="0" xfId="1" applyNumberFormat="1">
      <alignment vertical="center"/>
    </xf>
    <xf numFmtId="3" fontId="5" fillId="0" borderId="3" xfId="1" applyNumberFormat="1" applyBorder="1">
      <alignment vertical="center"/>
    </xf>
    <xf numFmtId="38" fontId="0" fillId="0" borderId="0" xfId="3" applyFont="1" applyFill="1" applyBorder="1">
      <alignment vertical="center"/>
    </xf>
    <xf numFmtId="0" fontId="5" fillId="0" borderId="0" xfId="1" quotePrefix="1">
      <alignment vertical="center"/>
    </xf>
    <xf numFmtId="3" fontId="5" fillId="0" borderId="2" xfId="1" applyNumberFormat="1" applyBorder="1">
      <alignment vertical="center"/>
    </xf>
    <xf numFmtId="0" fontId="12" fillId="0" borderId="0" xfId="1" applyFont="1" applyAlignment="1">
      <alignment vertical="center" shrinkToFit="1"/>
    </xf>
    <xf numFmtId="0" fontId="13" fillId="0" borderId="0" xfId="1" applyFont="1" applyAlignment="1">
      <alignment vertical="center" shrinkToFit="1"/>
    </xf>
    <xf numFmtId="180" fontId="5" fillId="2" borderId="0" xfId="1" applyNumberFormat="1" applyFill="1">
      <alignment vertical="center"/>
    </xf>
    <xf numFmtId="180" fontId="5" fillId="0" borderId="0" xfId="1" applyNumberFormat="1">
      <alignment vertical="center"/>
    </xf>
    <xf numFmtId="0" fontId="0" fillId="0" borderId="0" xfId="0" applyAlignment="1">
      <alignment vertical="center" wrapText="1"/>
    </xf>
    <xf numFmtId="0" fontId="7" fillId="0" borderId="0" xfId="1" applyFont="1">
      <alignment vertical="center"/>
    </xf>
    <xf numFmtId="0" fontId="3" fillId="0" borderId="0" xfId="1" applyFont="1" applyAlignment="1">
      <alignment vertical="center" shrinkToFit="1"/>
    </xf>
    <xf numFmtId="178" fontId="7" fillId="0" borderId="0" xfId="1" applyNumberFormat="1" applyFont="1">
      <alignment vertical="center"/>
    </xf>
    <xf numFmtId="0" fontId="2" fillId="0" borderId="0" xfId="1" applyFont="1" applyAlignment="1">
      <alignment vertical="center" shrinkToFit="1"/>
    </xf>
    <xf numFmtId="0" fontId="2" fillId="0" borderId="0" xfId="6">
      <alignment vertical="center"/>
    </xf>
    <xf numFmtId="49" fontId="2" fillId="0" borderId="0" xfId="6" applyNumberFormat="1">
      <alignment vertical="center"/>
    </xf>
    <xf numFmtId="179" fontId="2" fillId="2" borderId="0" xfId="6" applyNumberFormat="1" applyFill="1">
      <alignment vertical="center"/>
    </xf>
    <xf numFmtId="0" fontId="4" fillId="0" borderId="0" xfId="4">
      <alignment vertical="center"/>
    </xf>
    <xf numFmtId="0" fontId="15" fillId="0" borderId="0" xfId="6" applyFont="1">
      <alignment vertical="center"/>
    </xf>
    <xf numFmtId="0" fontId="13" fillId="0" borderId="0" xfId="4" applyFont="1">
      <alignment vertical="center"/>
    </xf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vertical="center" shrinkToFit="1"/>
    </xf>
    <xf numFmtId="49" fontId="13" fillId="0" borderId="0" xfId="6" applyNumberFormat="1" applyFont="1">
      <alignment vertical="center"/>
    </xf>
    <xf numFmtId="0" fontId="13" fillId="0" borderId="0" xfId="6" applyFont="1" applyAlignment="1">
      <alignment horizontal="right" vertical="center"/>
    </xf>
    <xf numFmtId="0" fontId="13" fillId="0" borderId="0" xfId="4" applyFont="1" applyAlignment="1">
      <alignment horizontal="right" vertical="center"/>
    </xf>
    <xf numFmtId="0" fontId="13" fillId="0" borderId="0" xfId="6" applyFont="1">
      <alignment vertical="center"/>
    </xf>
    <xf numFmtId="180" fontId="13" fillId="0" borderId="0" xfId="6" applyNumberFormat="1" applyFont="1">
      <alignment vertical="center"/>
    </xf>
    <xf numFmtId="180" fontId="13" fillId="0" borderId="0" xfId="4" applyNumberFormat="1" applyFont="1">
      <alignment vertical="center"/>
    </xf>
    <xf numFmtId="3" fontId="13" fillId="0" borderId="0" xfId="6" applyNumberFormat="1" applyFont="1">
      <alignment vertical="center"/>
    </xf>
    <xf numFmtId="0" fontId="11" fillId="0" borderId="0" xfId="6" applyFont="1">
      <alignment vertical="center"/>
    </xf>
    <xf numFmtId="0" fontId="1" fillId="0" borderId="0" xfId="1" applyFont="1" applyAlignment="1">
      <alignment vertical="center" shrinkToFit="1"/>
    </xf>
  </cellXfs>
  <cellStyles count="7">
    <cellStyle name="ハイパーリンク" xfId="2" builtinId="8"/>
    <cellStyle name="桁区切り 2" xfId="3" xr:uid="{9E67A063-A4F4-4ECA-9B5D-6EBA2D4BEEC9}"/>
    <cellStyle name="標準" xfId="0" builtinId="0"/>
    <cellStyle name="標準 2" xfId="1" xr:uid="{8F9FECEE-36F4-4C94-AC27-357C7BEA6408}"/>
    <cellStyle name="標準 2 2" xfId="5" xr:uid="{D535E05E-437E-48B1-B8FA-BA6D45065B37}"/>
    <cellStyle name="標準 2 3" xfId="6" xr:uid="{01E01E70-71E9-44C4-814B-032D5AF71468}"/>
    <cellStyle name="標準 3" xfId="4" xr:uid="{6845C9AA-FADF-4739-8D56-04D1831221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B18" sqref="B18"/>
    </sheetView>
  </sheetViews>
  <sheetFormatPr defaultRowHeight="18"/>
  <cols>
    <col min="1" max="2" width="15.58203125" customWidth="1"/>
    <col min="3" max="3" width="21.4140625" customWidth="1"/>
    <col min="4" max="6" width="15.58203125" customWidth="1"/>
  </cols>
  <sheetData>
    <row r="1" spans="1:5">
      <c r="A1" t="s">
        <v>197</v>
      </c>
      <c r="B1" t="s">
        <v>198</v>
      </c>
      <c r="C1" t="s">
        <v>199</v>
      </c>
    </row>
    <row r="2" spans="1:5">
      <c r="A2" t="s">
        <v>168</v>
      </c>
      <c r="B2" t="s">
        <v>204</v>
      </c>
      <c r="C2" t="s">
        <v>205</v>
      </c>
      <c r="D2" t="s">
        <v>171</v>
      </c>
    </row>
    <row r="3" spans="1:5">
      <c r="A3" t="s">
        <v>168</v>
      </c>
      <c r="B3" t="s">
        <v>169</v>
      </c>
      <c r="C3" t="s">
        <v>170</v>
      </c>
      <c r="D3" t="s">
        <v>171</v>
      </c>
      <c r="E3" t="s">
        <v>172</v>
      </c>
    </row>
    <row r="4" spans="1:5">
      <c r="A4" t="s">
        <v>168</v>
      </c>
      <c r="B4" t="s">
        <v>173</v>
      </c>
      <c r="C4" t="s">
        <v>174</v>
      </c>
      <c r="D4" t="s">
        <v>171</v>
      </c>
      <c r="E4" t="s">
        <v>172</v>
      </c>
    </row>
    <row r="5" spans="1:5">
      <c r="A5" t="s">
        <v>168</v>
      </c>
      <c r="B5" t="s">
        <v>175</v>
      </c>
      <c r="C5" t="s">
        <v>176</v>
      </c>
      <c r="D5" t="s">
        <v>171</v>
      </c>
      <c r="E5" t="s">
        <v>172</v>
      </c>
    </row>
    <row r="6" spans="1:5">
      <c r="A6" s="34" t="s">
        <v>201</v>
      </c>
      <c r="B6" s="34" t="s">
        <v>200</v>
      </c>
      <c r="C6" s="34" t="s">
        <v>203</v>
      </c>
      <c r="D6" t="s">
        <v>171</v>
      </c>
    </row>
    <row r="7" spans="1:5">
      <c r="A7" t="s">
        <v>168</v>
      </c>
      <c r="B7" t="s">
        <v>187</v>
      </c>
      <c r="C7" t="s">
        <v>188</v>
      </c>
      <c r="D7" t="s">
        <v>171</v>
      </c>
      <c r="E7" t="s">
        <v>172</v>
      </c>
    </row>
    <row r="8" spans="1:5">
      <c r="A8" t="s">
        <v>168</v>
      </c>
      <c r="B8" t="s">
        <v>189</v>
      </c>
      <c r="C8" t="s">
        <v>190</v>
      </c>
      <c r="D8" t="s">
        <v>191</v>
      </c>
      <c r="E8" t="s">
        <v>172</v>
      </c>
    </row>
    <row r="9" spans="1:5">
      <c r="A9" t="s">
        <v>168</v>
      </c>
      <c r="B9" t="s">
        <v>192</v>
      </c>
      <c r="C9" t="s">
        <v>193</v>
      </c>
      <c r="D9" t="s">
        <v>171</v>
      </c>
      <c r="E9" t="s">
        <v>172</v>
      </c>
    </row>
    <row r="10" spans="1:5">
      <c r="A10" t="s">
        <v>168</v>
      </c>
      <c r="B10" t="s">
        <v>177</v>
      </c>
      <c r="C10" t="s">
        <v>178</v>
      </c>
      <c r="D10" t="s">
        <v>171</v>
      </c>
      <c r="E10" t="s">
        <v>172</v>
      </c>
    </row>
    <row r="11" spans="1:5">
      <c r="A11" t="s">
        <v>168</v>
      </c>
      <c r="B11" t="s">
        <v>179</v>
      </c>
      <c r="C11" t="s">
        <v>180</v>
      </c>
      <c r="D11" t="s">
        <v>171</v>
      </c>
      <c r="E11" t="s">
        <v>172</v>
      </c>
    </row>
    <row r="12" spans="1:5">
      <c r="A12" t="s">
        <v>168</v>
      </c>
      <c r="B12" t="s">
        <v>182</v>
      </c>
      <c r="C12" t="s">
        <v>183</v>
      </c>
      <c r="D12" t="s">
        <v>171</v>
      </c>
      <c r="E12" t="s">
        <v>181</v>
      </c>
    </row>
    <row r="13" spans="1:5">
      <c r="A13" t="s">
        <v>168</v>
      </c>
      <c r="B13" t="s">
        <v>184</v>
      </c>
      <c r="C13" t="s">
        <v>185</v>
      </c>
      <c r="D13" t="s">
        <v>171</v>
      </c>
    </row>
    <row r="14" spans="1:5">
      <c r="A14" t="s">
        <v>168</v>
      </c>
      <c r="B14" t="s">
        <v>186</v>
      </c>
      <c r="C14" t="s">
        <v>265</v>
      </c>
      <c r="D14" t="s">
        <v>171</v>
      </c>
    </row>
    <row r="15" spans="1:5">
      <c r="A15" t="s">
        <v>168</v>
      </c>
      <c r="B15" t="s">
        <v>264</v>
      </c>
      <c r="C15" t="s">
        <v>266</v>
      </c>
      <c r="D15" t="s">
        <v>171</v>
      </c>
      <c r="E15" t="s">
        <v>172</v>
      </c>
    </row>
    <row r="16" spans="1:5">
      <c r="A16" t="s">
        <v>168</v>
      </c>
      <c r="B16" t="s">
        <v>194</v>
      </c>
      <c r="C16" t="s">
        <v>195</v>
      </c>
      <c r="D16" t="s">
        <v>171</v>
      </c>
      <c r="E16" t="s">
        <v>267</v>
      </c>
    </row>
    <row r="17" spans="1:5">
      <c r="A17" t="s">
        <v>168</v>
      </c>
      <c r="B17" t="s">
        <v>196</v>
      </c>
      <c r="C17" t="s">
        <v>202</v>
      </c>
      <c r="D17" t="s">
        <v>171</v>
      </c>
      <c r="E17" t="s">
        <v>172</v>
      </c>
    </row>
    <row r="18" spans="1:5">
      <c r="A18" t="s">
        <v>168</v>
      </c>
      <c r="B18" t="s">
        <v>268</v>
      </c>
      <c r="C18" t="s">
        <v>269</v>
      </c>
      <c r="D18" t="s">
        <v>171</v>
      </c>
      <c r="E18" t="s">
        <v>172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0BF7-384D-4014-8AED-F6EB63E5EA67}">
  <dimension ref="A1:B3"/>
  <sheetViews>
    <sheetView workbookViewId="0">
      <selection activeCell="C29" sqref="C29"/>
    </sheetView>
  </sheetViews>
  <sheetFormatPr defaultRowHeight="18"/>
  <sheetData>
    <row r="1" spans="1:2">
      <c r="A1" t="s">
        <v>206</v>
      </c>
      <c r="B1">
        <v>2.96</v>
      </c>
    </row>
    <row r="2" spans="1:2">
      <c r="A2" t="s">
        <v>207</v>
      </c>
      <c r="B2">
        <v>83304000</v>
      </c>
    </row>
    <row r="3" spans="1:2">
      <c r="A3" t="s">
        <v>208</v>
      </c>
      <c r="B3">
        <v>736500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F643-97F1-4702-AE1D-3F5879EBF956}">
  <dimension ref="A1:R37"/>
  <sheetViews>
    <sheetView zoomScaleNormal="100" zoomScaleSheetLayoutView="100" workbookViewId="0">
      <pane xSplit="1" ySplit="1" topLeftCell="C8" activePane="bottomRight" state="frozen"/>
      <selection pane="topRight" activeCell="D1" sqref="D1"/>
      <selection pane="bottomLeft" activeCell="A4" sqref="A4"/>
      <selection pane="bottomRight" activeCell="F10" sqref="F10"/>
    </sheetView>
  </sheetViews>
  <sheetFormatPr defaultRowHeight="18"/>
  <cols>
    <col min="1" max="1" width="15.6640625" style="6" customWidth="1"/>
    <col min="2" max="14" width="10.6640625" style="6" customWidth="1"/>
    <col min="15" max="16" width="10.6640625" style="6" hidden="1" customWidth="1"/>
    <col min="17" max="18" width="10.6640625" style="6" customWidth="1"/>
    <col min="19" max="16384" width="8.6640625" style="6"/>
  </cols>
  <sheetData>
    <row r="1" spans="1:18" s="1" customForma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1" t="s">
        <v>13</v>
      </c>
      <c r="R1" s="1" t="s">
        <v>14</v>
      </c>
    </row>
    <row r="2" spans="1:18">
      <c r="A2" s="3" t="s">
        <v>15</v>
      </c>
      <c r="B2" s="4">
        <v>1563</v>
      </c>
      <c r="C2" s="5">
        <v>5.1650671785028788</v>
      </c>
      <c r="D2" s="6">
        <v>8073</v>
      </c>
      <c r="E2" s="6">
        <v>832</v>
      </c>
      <c r="F2" s="6">
        <v>89</v>
      </c>
      <c r="G2" s="6">
        <v>-255</v>
      </c>
      <c r="H2" s="6">
        <v>8236</v>
      </c>
      <c r="I2" s="6">
        <v>805</v>
      </c>
      <c r="J2" s="6">
        <v>36</v>
      </c>
      <c r="K2" s="6">
        <v>229</v>
      </c>
      <c r="L2" s="6">
        <v>10</v>
      </c>
      <c r="M2" s="6">
        <v>143</v>
      </c>
      <c r="N2" s="6">
        <v>7013</v>
      </c>
      <c r="O2" s="6">
        <v>56.1</v>
      </c>
      <c r="P2" s="6">
        <v>153.80000000000001</v>
      </c>
      <c r="Q2" s="6">
        <v>90.6</v>
      </c>
      <c r="R2" s="6">
        <v>6354</v>
      </c>
    </row>
    <row r="3" spans="1:18">
      <c r="A3" s="3" t="s">
        <v>16</v>
      </c>
      <c r="B3" s="7">
        <v>227.3</v>
      </c>
      <c r="C3" s="8">
        <v>4.37</v>
      </c>
      <c r="D3" s="6">
        <v>994</v>
      </c>
      <c r="E3" s="6">
        <v>5512</v>
      </c>
      <c r="F3" s="6">
        <v>0</v>
      </c>
      <c r="G3" s="6">
        <v>37</v>
      </c>
      <c r="H3" s="6">
        <v>6469</v>
      </c>
      <c r="I3" s="6">
        <v>932</v>
      </c>
      <c r="J3" s="6">
        <v>21</v>
      </c>
      <c r="K3" s="6">
        <v>282</v>
      </c>
      <c r="L3" s="6">
        <v>7</v>
      </c>
      <c r="M3" s="6">
        <v>157</v>
      </c>
      <c r="N3" s="6">
        <v>5070</v>
      </c>
      <c r="O3" s="6">
        <v>40.6</v>
      </c>
      <c r="P3" s="6">
        <v>111.2</v>
      </c>
      <c r="Q3" s="6">
        <v>78</v>
      </c>
      <c r="R3" s="6">
        <v>3955</v>
      </c>
    </row>
    <row r="4" spans="1:18">
      <c r="A4" s="3" t="s">
        <v>17</v>
      </c>
      <c r="B4" s="7">
        <v>227.3</v>
      </c>
      <c r="C4" s="8">
        <v>4.37</v>
      </c>
      <c r="D4" s="6">
        <v>994</v>
      </c>
      <c r="E4" s="6">
        <v>5512</v>
      </c>
      <c r="F4" s="6">
        <v>0</v>
      </c>
      <c r="G4" s="6">
        <v>37</v>
      </c>
      <c r="H4" s="6">
        <v>6469</v>
      </c>
      <c r="I4" s="6">
        <v>932</v>
      </c>
      <c r="J4" s="6">
        <v>21</v>
      </c>
      <c r="K4" s="6">
        <v>282</v>
      </c>
      <c r="L4" s="6">
        <v>7</v>
      </c>
      <c r="M4" s="6">
        <v>157</v>
      </c>
      <c r="N4" s="6">
        <v>5070</v>
      </c>
      <c r="O4" s="6">
        <v>40.6</v>
      </c>
      <c r="P4" s="6">
        <v>111.2</v>
      </c>
      <c r="Q4" s="6">
        <v>78</v>
      </c>
      <c r="R4" s="6">
        <v>3955</v>
      </c>
    </row>
    <row r="5" spans="1:18">
      <c r="A5" s="3" t="s">
        <v>18</v>
      </c>
      <c r="B5" s="4">
        <v>57.4</v>
      </c>
      <c r="C5" s="5">
        <v>3.77</v>
      </c>
      <c r="D5" s="6">
        <v>216</v>
      </c>
      <c r="E5" s="6">
        <v>1830</v>
      </c>
      <c r="F5" s="6">
        <v>0</v>
      </c>
      <c r="G5" s="6">
        <v>81</v>
      </c>
      <c r="H5" s="6">
        <v>1965</v>
      </c>
      <c r="I5" s="6">
        <v>1088</v>
      </c>
      <c r="J5" s="6">
        <v>4</v>
      </c>
      <c r="K5" s="6">
        <v>810</v>
      </c>
      <c r="L5" s="6">
        <v>0</v>
      </c>
      <c r="M5" s="6">
        <v>2</v>
      </c>
      <c r="N5" s="6">
        <v>61</v>
      </c>
      <c r="O5" s="6">
        <v>0.5</v>
      </c>
      <c r="P5" s="6">
        <v>1.3</v>
      </c>
      <c r="Q5" s="6">
        <v>46</v>
      </c>
      <c r="R5" s="6">
        <v>28</v>
      </c>
    </row>
    <row r="6" spans="1:18">
      <c r="A6" s="3" t="s">
        <v>19</v>
      </c>
      <c r="B6" s="4">
        <v>57.4</v>
      </c>
      <c r="C6" s="5">
        <v>3.77</v>
      </c>
      <c r="D6" s="6">
        <v>216</v>
      </c>
      <c r="E6" s="6">
        <v>1830</v>
      </c>
      <c r="F6" s="6">
        <v>0</v>
      </c>
      <c r="G6" s="6">
        <v>81</v>
      </c>
      <c r="H6" s="6">
        <v>1965</v>
      </c>
      <c r="I6" s="6">
        <v>1088</v>
      </c>
      <c r="J6" s="6">
        <v>4</v>
      </c>
      <c r="K6" s="6">
        <v>810</v>
      </c>
      <c r="L6" s="6">
        <v>0</v>
      </c>
      <c r="M6" s="6">
        <v>2</v>
      </c>
      <c r="N6" s="6">
        <v>61</v>
      </c>
      <c r="O6" s="6">
        <v>0.5</v>
      </c>
      <c r="P6" s="6">
        <v>1.3</v>
      </c>
      <c r="Q6" s="6">
        <v>46</v>
      </c>
      <c r="R6" s="6">
        <v>28</v>
      </c>
    </row>
    <row r="7" spans="1:18">
      <c r="A7" s="3" t="s">
        <v>20</v>
      </c>
      <c r="B7" s="7">
        <v>5.87</v>
      </c>
      <c r="C7" s="8">
        <v>2.9</v>
      </c>
      <c r="D7" s="6">
        <v>17</v>
      </c>
      <c r="E7" s="6">
        <v>11</v>
      </c>
      <c r="F7" s="6">
        <v>0</v>
      </c>
      <c r="G7" s="6">
        <v>-3</v>
      </c>
      <c r="H7" s="6">
        <v>31</v>
      </c>
      <c r="I7" s="6">
        <v>0</v>
      </c>
      <c r="J7" s="6">
        <v>0</v>
      </c>
      <c r="K7" s="6">
        <v>7</v>
      </c>
      <c r="L7" s="6">
        <v>0</v>
      </c>
      <c r="M7" s="6">
        <v>1</v>
      </c>
      <c r="N7" s="6">
        <v>23</v>
      </c>
      <c r="O7" s="6">
        <v>0.2</v>
      </c>
      <c r="P7" s="6">
        <v>0.5</v>
      </c>
      <c r="Q7" s="6">
        <v>57</v>
      </c>
      <c r="R7" s="6">
        <v>13</v>
      </c>
    </row>
    <row r="8" spans="1:18">
      <c r="A8" s="3" t="s">
        <v>21</v>
      </c>
      <c r="B8" s="4">
        <v>0.1</v>
      </c>
      <c r="C8" s="5">
        <v>3.33</v>
      </c>
      <c r="D8" s="6">
        <v>0</v>
      </c>
      <c r="E8" s="6">
        <v>15062</v>
      </c>
      <c r="F8" s="6">
        <v>0</v>
      </c>
      <c r="G8" s="6">
        <v>110</v>
      </c>
      <c r="H8" s="6">
        <v>14952</v>
      </c>
      <c r="I8" s="6">
        <v>11633</v>
      </c>
      <c r="J8" s="6">
        <v>3</v>
      </c>
      <c r="K8" s="6">
        <v>3207</v>
      </c>
      <c r="L8" s="6">
        <v>0</v>
      </c>
      <c r="M8" s="6">
        <v>3</v>
      </c>
      <c r="N8" s="6">
        <v>106</v>
      </c>
      <c r="O8" s="6">
        <v>0.8</v>
      </c>
      <c r="P8" s="6">
        <v>2.2999999999999998</v>
      </c>
      <c r="Q8" s="6">
        <v>63.5</v>
      </c>
      <c r="R8" s="6">
        <v>68</v>
      </c>
    </row>
    <row r="9" spans="1:18">
      <c r="A9" s="3" t="s">
        <v>22</v>
      </c>
      <c r="B9" s="4">
        <v>1.511E-2</v>
      </c>
      <c r="C9" s="5">
        <v>0.99272005294506949</v>
      </c>
      <c r="D9" s="6">
        <v>0</v>
      </c>
      <c r="E9" s="6">
        <v>256</v>
      </c>
      <c r="F9" s="6">
        <v>0</v>
      </c>
      <c r="G9" s="6">
        <v>25</v>
      </c>
      <c r="H9" s="6">
        <v>231</v>
      </c>
      <c r="I9" s="6">
        <v>231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75</v>
      </c>
      <c r="R9" s="6">
        <v>0</v>
      </c>
    </row>
    <row r="10" spans="1:18">
      <c r="A10" s="3" t="s">
        <v>23</v>
      </c>
      <c r="B10" s="4">
        <v>65.779730000000001</v>
      </c>
      <c r="C10" s="5">
        <v>0.61243790450340863</v>
      </c>
      <c r="D10" s="6">
        <v>40</v>
      </c>
      <c r="E10" s="6">
        <v>138</v>
      </c>
      <c r="F10" s="6">
        <v>0</v>
      </c>
      <c r="G10" s="6">
        <v>-6</v>
      </c>
      <c r="H10" s="6">
        <v>184</v>
      </c>
      <c r="I10" s="6">
        <v>43</v>
      </c>
      <c r="J10" s="6">
        <v>9</v>
      </c>
      <c r="K10" s="6">
        <v>0</v>
      </c>
      <c r="L10" s="6">
        <v>0</v>
      </c>
      <c r="M10" s="6">
        <v>4</v>
      </c>
      <c r="N10" s="6">
        <v>128</v>
      </c>
      <c r="O10" s="6">
        <v>1</v>
      </c>
      <c r="P10" s="6">
        <v>2.8</v>
      </c>
      <c r="Q10" s="6">
        <v>65.599999999999994</v>
      </c>
      <c r="R10" s="6">
        <v>84</v>
      </c>
    </row>
    <row r="11" spans="1:18">
      <c r="A11" s="3" t="s">
        <v>24</v>
      </c>
      <c r="B11" s="7">
        <v>32.299999999999997</v>
      </c>
      <c r="C11" s="8">
        <v>22</v>
      </c>
      <c r="D11" s="6">
        <v>711</v>
      </c>
      <c r="E11" s="6">
        <v>50</v>
      </c>
      <c r="F11" s="6">
        <v>17</v>
      </c>
      <c r="G11" s="6">
        <v>0</v>
      </c>
      <c r="H11" s="6">
        <v>744</v>
      </c>
      <c r="I11" s="6">
        <v>2</v>
      </c>
      <c r="J11" s="6">
        <v>12</v>
      </c>
      <c r="K11" s="6">
        <v>196</v>
      </c>
      <c r="L11" s="6">
        <v>1</v>
      </c>
      <c r="M11" s="6">
        <v>5</v>
      </c>
      <c r="N11" s="6">
        <v>528</v>
      </c>
      <c r="O11" s="6">
        <v>4.2</v>
      </c>
      <c r="P11" s="6">
        <v>11.6</v>
      </c>
      <c r="Q11" s="6">
        <v>91</v>
      </c>
      <c r="R11" s="6">
        <v>480</v>
      </c>
    </row>
    <row r="12" spans="1:18">
      <c r="A12" s="3" t="s">
        <v>25</v>
      </c>
      <c r="B12" s="7">
        <v>32.299999999999997</v>
      </c>
      <c r="C12" s="8">
        <v>22</v>
      </c>
      <c r="D12" s="6">
        <v>711</v>
      </c>
      <c r="E12" s="6">
        <v>50</v>
      </c>
      <c r="F12" s="6">
        <v>17</v>
      </c>
      <c r="G12" s="6">
        <v>0</v>
      </c>
      <c r="H12" s="6">
        <v>744</v>
      </c>
      <c r="I12" s="6">
        <v>2</v>
      </c>
      <c r="J12" s="6">
        <v>12</v>
      </c>
      <c r="K12" s="6">
        <v>196</v>
      </c>
      <c r="L12" s="6">
        <v>1</v>
      </c>
      <c r="M12" s="6">
        <v>5</v>
      </c>
      <c r="N12" s="6">
        <v>528</v>
      </c>
      <c r="O12" s="6">
        <v>4.2</v>
      </c>
      <c r="P12" s="6">
        <v>11.6</v>
      </c>
      <c r="Q12" s="6">
        <v>91</v>
      </c>
      <c r="R12" s="6">
        <v>480</v>
      </c>
    </row>
    <row r="13" spans="1:18">
      <c r="A13" s="3" t="s">
        <v>26</v>
      </c>
      <c r="B13" s="7">
        <v>71.400000000000006</v>
      </c>
      <c r="C13" s="8">
        <v>32</v>
      </c>
      <c r="D13" s="6">
        <v>2284</v>
      </c>
      <c r="E13" s="6">
        <v>1257</v>
      </c>
      <c r="F13" s="6">
        <v>13</v>
      </c>
      <c r="G13" s="6">
        <v>0</v>
      </c>
      <c r="H13" s="6">
        <v>3528</v>
      </c>
      <c r="I13" s="6">
        <v>2</v>
      </c>
      <c r="J13" s="6">
        <v>146</v>
      </c>
      <c r="K13" s="6">
        <v>851</v>
      </c>
      <c r="L13" s="6">
        <v>4</v>
      </c>
      <c r="M13" s="6">
        <v>132</v>
      </c>
      <c r="N13" s="6">
        <v>2393</v>
      </c>
      <c r="O13" s="6">
        <v>19.2</v>
      </c>
      <c r="P13" s="6">
        <v>52.5</v>
      </c>
      <c r="Q13" s="6">
        <v>90</v>
      </c>
      <c r="R13" s="6">
        <v>2154</v>
      </c>
    </row>
    <row r="14" spans="1:18">
      <c r="A14" s="3" t="s">
        <v>27</v>
      </c>
      <c r="B14" s="7">
        <v>71.400000000000006</v>
      </c>
      <c r="C14" s="8">
        <v>32</v>
      </c>
      <c r="D14" s="6">
        <v>2284</v>
      </c>
      <c r="E14" s="6">
        <v>1257</v>
      </c>
      <c r="F14" s="6">
        <v>13</v>
      </c>
      <c r="G14" s="6">
        <v>0</v>
      </c>
      <c r="H14" s="6">
        <v>3528</v>
      </c>
      <c r="I14" s="6">
        <v>2</v>
      </c>
      <c r="J14" s="6">
        <v>146</v>
      </c>
      <c r="K14" s="6">
        <v>851</v>
      </c>
      <c r="L14" s="6">
        <v>4</v>
      </c>
      <c r="M14" s="6">
        <v>132</v>
      </c>
      <c r="N14" s="6">
        <v>2393</v>
      </c>
      <c r="O14" s="6">
        <v>19.2</v>
      </c>
      <c r="P14" s="6">
        <v>52.5</v>
      </c>
      <c r="Q14" s="6">
        <v>90</v>
      </c>
      <c r="R14" s="6">
        <v>2154</v>
      </c>
    </row>
    <row r="15" spans="1:18">
      <c r="A15" s="3" t="s">
        <v>28</v>
      </c>
      <c r="B15" s="7">
        <v>151.6</v>
      </c>
      <c r="C15" s="8">
        <v>1.6</v>
      </c>
      <c r="D15" s="6">
        <v>243</v>
      </c>
      <c r="E15" s="6">
        <v>3704</v>
      </c>
      <c r="F15" s="6">
        <v>0</v>
      </c>
      <c r="G15" s="6">
        <v>52</v>
      </c>
      <c r="H15" s="6">
        <v>3895</v>
      </c>
      <c r="I15" s="6">
        <v>80</v>
      </c>
      <c r="J15" s="6">
        <v>9</v>
      </c>
      <c r="K15" s="6">
        <v>2890</v>
      </c>
      <c r="L15" s="6">
        <v>1</v>
      </c>
      <c r="M15" s="6">
        <v>74</v>
      </c>
      <c r="N15" s="6">
        <v>841</v>
      </c>
      <c r="O15" s="6">
        <v>6.7</v>
      </c>
      <c r="P15" s="6">
        <v>18.399999999999999</v>
      </c>
      <c r="Q15" s="6">
        <v>100</v>
      </c>
      <c r="R15" s="6">
        <v>841</v>
      </c>
    </row>
    <row r="16" spans="1:18">
      <c r="A16" s="3" t="s">
        <v>29</v>
      </c>
      <c r="B16" s="7">
        <v>151.6</v>
      </c>
      <c r="C16" s="8">
        <v>1.6</v>
      </c>
      <c r="D16" s="6">
        <v>243</v>
      </c>
      <c r="E16" s="6">
        <v>3704</v>
      </c>
      <c r="F16" s="6">
        <v>0</v>
      </c>
      <c r="G16" s="6">
        <v>52</v>
      </c>
      <c r="H16" s="6">
        <v>3895</v>
      </c>
      <c r="I16" s="6">
        <v>80</v>
      </c>
      <c r="J16" s="6">
        <v>9</v>
      </c>
      <c r="K16" s="6">
        <v>2890</v>
      </c>
      <c r="L16" s="6">
        <v>1</v>
      </c>
      <c r="M16" s="6">
        <v>74</v>
      </c>
      <c r="N16" s="6">
        <v>841</v>
      </c>
      <c r="O16" s="6">
        <v>6.7</v>
      </c>
      <c r="P16" s="6">
        <v>18.399999999999999</v>
      </c>
      <c r="Q16" s="6">
        <v>100</v>
      </c>
      <c r="R16" s="6">
        <v>841</v>
      </c>
    </row>
    <row r="17" spans="1:18">
      <c r="A17" s="3" t="s">
        <v>30</v>
      </c>
      <c r="B17" s="4">
        <v>35.29</v>
      </c>
      <c r="C17" s="5">
        <v>1.9305752337772739</v>
      </c>
      <c r="D17" s="6">
        <v>70</v>
      </c>
      <c r="E17" s="6">
        <v>265</v>
      </c>
      <c r="F17" s="6">
        <v>0</v>
      </c>
      <c r="G17" s="6">
        <v>-49</v>
      </c>
      <c r="H17" s="6">
        <v>384</v>
      </c>
      <c r="I17" s="6">
        <v>0</v>
      </c>
      <c r="J17" s="6">
        <v>2</v>
      </c>
      <c r="K17" s="6">
        <v>53</v>
      </c>
      <c r="L17" s="6">
        <v>0</v>
      </c>
      <c r="M17" s="6">
        <v>10</v>
      </c>
      <c r="N17" s="6">
        <v>319</v>
      </c>
      <c r="O17" s="6">
        <v>2.6</v>
      </c>
      <c r="P17" s="6">
        <v>7</v>
      </c>
      <c r="Q17" s="6">
        <v>88.1</v>
      </c>
      <c r="R17" s="6">
        <v>281</v>
      </c>
    </row>
    <row r="18" spans="1:18">
      <c r="A18" s="3" t="s">
        <v>31</v>
      </c>
      <c r="B18" s="4">
        <v>365.61700000000002</v>
      </c>
      <c r="C18" s="5">
        <v>28.865123886471366</v>
      </c>
      <c r="D18" s="6">
        <v>11237</v>
      </c>
      <c r="E18" s="6">
        <v>2970</v>
      </c>
      <c r="F18" s="6">
        <v>35</v>
      </c>
      <c r="G18" s="6">
        <v>0</v>
      </c>
      <c r="H18" s="6">
        <v>14172</v>
      </c>
      <c r="I18" s="6">
        <v>0</v>
      </c>
      <c r="J18" s="6">
        <v>0</v>
      </c>
      <c r="K18" s="6">
        <v>0</v>
      </c>
      <c r="L18" s="6">
        <v>15</v>
      </c>
      <c r="M18" s="6">
        <v>1490</v>
      </c>
      <c r="N18" s="6">
        <v>12667</v>
      </c>
      <c r="O18" s="6">
        <v>101.4</v>
      </c>
      <c r="P18" s="6">
        <v>277.8</v>
      </c>
      <c r="Q18" s="6">
        <v>86.9</v>
      </c>
      <c r="R18" s="6">
        <v>11009</v>
      </c>
    </row>
    <row r="19" spans="1:18">
      <c r="A19" s="3" t="s">
        <v>32</v>
      </c>
      <c r="B19" s="7">
        <v>36.200000000000003</v>
      </c>
      <c r="C19" s="8">
        <v>18.8</v>
      </c>
      <c r="D19" s="6">
        <v>682</v>
      </c>
      <c r="E19" s="6">
        <v>0</v>
      </c>
      <c r="F19" s="6">
        <v>1</v>
      </c>
      <c r="G19" s="6">
        <v>11</v>
      </c>
      <c r="H19" s="6">
        <v>670</v>
      </c>
      <c r="I19" s="6">
        <v>0</v>
      </c>
      <c r="J19" s="6">
        <v>0</v>
      </c>
      <c r="K19" s="6">
        <v>0</v>
      </c>
      <c r="L19" s="6">
        <v>1</v>
      </c>
      <c r="M19" s="6">
        <v>101</v>
      </c>
      <c r="N19" s="6">
        <v>568</v>
      </c>
      <c r="O19" s="6">
        <v>4.5</v>
      </c>
      <c r="P19" s="6">
        <v>12.5</v>
      </c>
      <c r="Q19" s="6">
        <v>75</v>
      </c>
      <c r="R19" s="6">
        <v>426</v>
      </c>
    </row>
    <row r="20" spans="1:18">
      <c r="A20" s="3" t="s">
        <v>33</v>
      </c>
      <c r="B20" s="7">
        <v>35.1</v>
      </c>
      <c r="C20" s="8">
        <v>21</v>
      </c>
      <c r="D20" s="6">
        <v>737</v>
      </c>
      <c r="E20" s="6">
        <v>559</v>
      </c>
      <c r="F20" s="6">
        <v>53</v>
      </c>
      <c r="G20" s="6">
        <v>-2</v>
      </c>
      <c r="H20" s="6">
        <v>1245</v>
      </c>
      <c r="I20" s="6">
        <v>0</v>
      </c>
      <c r="J20" s="6">
        <v>0</v>
      </c>
      <c r="K20" s="6">
        <v>0</v>
      </c>
      <c r="L20" s="6">
        <v>2</v>
      </c>
      <c r="M20" s="6">
        <v>125</v>
      </c>
      <c r="N20" s="6">
        <v>1118</v>
      </c>
      <c r="O20" s="6">
        <v>8.9</v>
      </c>
      <c r="P20" s="6">
        <v>24.5</v>
      </c>
      <c r="Q20" s="6">
        <v>85</v>
      </c>
      <c r="R20" s="6">
        <v>950</v>
      </c>
    </row>
    <row r="21" spans="1:18">
      <c r="A21" s="3" t="s">
        <v>34</v>
      </c>
      <c r="B21" s="4">
        <v>94.748000000000005</v>
      </c>
      <c r="C21" s="5">
        <v>9.485688352260734</v>
      </c>
      <c r="D21" s="6">
        <v>1226</v>
      </c>
      <c r="E21" s="6">
        <v>3674</v>
      </c>
      <c r="F21" s="6">
        <v>32</v>
      </c>
      <c r="G21" s="6">
        <v>0</v>
      </c>
      <c r="H21" s="6">
        <v>4868</v>
      </c>
      <c r="I21" s="6">
        <v>0</v>
      </c>
      <c r="J21" s="6">
        <v>0</v>
      </c>
      <c r="K21" s="6">
        <v>18</v>
      </c>
      <c r="L21" s="6">
        <v>5</v>
      </c>
      <c r="M21" s="6">
        <v>900</v>
      </c>
      <c r="N21" s="6">
        <v>3945</v>
      </c>
      <c r="O21" s="6">
        <v>31.6</v>
      </c>
      <c r="P21" s="6">
        <v>86.5</v>
      </c>
      <c r="Q21" s="6">
        <v>70.2</v>
      </c>
      <c r="R21" s="6">
        <v>2768</v>
      </c>
    </row>
    <row r="22" spans="1:18">
      <c r="A22" s="3" t="s">
        <v>35</v>
      </c>
      <c r="B22" s="6">
        <v>23.2</v>
      </c>
      <c r="C22" s="6">
        <v>54.8</v>
      </c>
      <c r="D22" s="6">
        <v>1272</v>
      </c>
      <c r="E22" s="6">
        <v>0</v>
      </c>
      <c r="F22" s="6">
        <v>0</v>
      </c>
      <c r="G22" s="6">
        <v>0</v>
      </c>
      <c r="H22" s="6">
        <v>1272</v>
      </c>
      <c r="I22" s="6">
        <v>0</v>
      </c>
      <c r="J22" s="6">
        <v>0</v>
      </c>
      <c r="K22" s="6">
        <v>1272</v>
      </c>
      <c r="L22" s="6">
        <v>0</v>
      </c>
      <c r="M22" s="6">
        <v>0</v>
      </c>
      <c r="N22" s="6">
        <v>0</v>
      </c>
      <c r="Q22" s="6">
        <v>0</v>
      </c>
      <c r="R22" s="6">
        <v>0</v>
      </c>
    </row>
    <row r="23" spans="1:18">
      <c r="A23" s="3" t="s">
        <v>36</v>
      </c>
      <c r="B23" s="6">
        <v>55.4</v>
      </c>
      <c r="C23" s="6">
        <v>64</v>
      </c>
      <c r="D23" s="6">
        <v>3545</v>
      </c>
      <c r="E23" s="6">
        <v>0</v>
      </c>
      <c r="F23" s="6">
        <v>0</v>
      </c>
      <c r="G23" s="6">
        <v>0</v>
      </c>
      <c r="H23" s="6">
        <v>3545</v>
      </c>
      <c r="I23" s="6">
        <v>0</v>
      </c>
      <c r="J23" s="6">
        <v>0</v>
      </c>
      <c r="K23" s="6">
        <v>3545</v>
      </c>
      <c r="L23" s="6">
        <v>0</v>
      </c>
      <c r="M23" s="6">
        <v>0</v>
      </c>
      <c r="N23" s="6">
        <v>0</v>
      </c>
      <c r="Q23" s="6">
        <v>0</v>
      </c>
      <c r="R23" s="6">
        <v>0</v>
      </c>
    </row>
    <row r="24" spans="1:18">
      <c r="A24" s="3" t="s">
        <v>37</v>
      </c>
      <c r="B24" s="9">
        <v>1.74</v>
      </c>
      <c r="C24" s="9">
        <v>2.11</v>
      </c>
      <c r="D24" s="9">
        <v>3.6713999999999998</v>
      </c>
      <c r="E24" s="10">
        <v>2100.7719999999999</v>
      </c>
      <c r="F24" s="10">
        <v>0</v>
      </c>
      <c r="G24" s="10">
        <v>0</v>
      </c>
      <c r="H24" s="10">
        <v>2104.4434000000001</v>
      </c>
      <c r="I24" s="10">
        <v>0</v>
      </c>
      <c r="J24" s="10">
        <v>0</v>
      </c>
      <c r="K24" s="10">
        <v>2104.4434000000001</v>
      </c>
      <c r="L24" s="10">
        <v>0</v>
      </c>
      <c r="M24" s="10">
        <v>0</v>
      </c>
      <c r="N24" s="10">
        <v>0</v>
      </c>
      <c r="O24" s="10"/>
      <c r="P24" s="10"/>
      <c r="Q24" s="10">
        <v>0</v>
      </c>
      <c r="R24" s="10">
        <v>0</v>
      </c>
    </row>
    <row r="25" spans="1:18">
      <c r="A25" s="3" t="s">
        <v>38</v>
      </c>
      <c r="D25" s="6">
        <v>2296</v>
      </c>
      <c r="E25" s="6">
        <v>147</v>
      </c>
      <c r="F25" s="6">
        <v>0</v>
      </c>
      <c r="G25" s="6">
        <v>-19</v>
      </c>
      <c r="H25" s="6">
        <v>2462</v>
      </c>
      <c r="I25" s="6">
        <v>0</v>
      </c>
      <c r="J25" s="6">
        <v>0</v>
      </c>
      <c r="K25" s="6">
        <v>504</v>
      </c>
      <c r="L25" s="6">
        <v>2</v>
      </c>
      <c r="M25" s="6">
        <v>0</v>
      </c>
      <c r="N25" s="6">
        <v>1956</v>
      </c>
      <c r="O25" s="6">
        <v>15.7</v>
      </c>
      <c r="P25" s="6">
        <v>42.9</v>
      </c>
      <c r="Q25" s="6">
        <v>100</v>
      </c>
      <c r="R25" s="6">
        <v>1956</v>
      </c>
    </row>
    <row r="26" spans="1:18">
      <c r="A26" s="3" t="s">
        <v>39</v>
      </c>
      <c r="D26" s="6">
        <v>3477</v>
      </c>
      <c r="E26" s="6">
        <v>3781</v>
      </c>
      <c r="F26" s="6">
        <v>789</v>
      </c>
      <c r="G26" s="6">
        <v>44</v>
      </c>
      <c r="H26" s="6">
        <v>6425</v>
      </c>
      <c r="I26" s="6">
        <v>1375</v>
      </c>
      <c r="J26" s="6">
        <v>0</v>
      </c>
      <c r="K26" s="6">
        <v>0</v>
      </c>
      <c r="L26" s="6">
        <v>7</v>
      </c>
      <c r="M26" s="6">
        <v>0</v>
      </c>
      <c r="N26" s="6">
        <v>5043</v>
      </c>
      <c r="O26" s="6">
        <v>40.4</v>
      </c>
      <c r="P26" s="6">
        <v>110.6</v>
      </c>
      <c r="Q26" s="6">
        <v>54.5</v>
      </c>
      <c r="R26" s="6">
        <v>2749</v>
      </c>
    </row>
    <row r="27" spans="1:18">
      <c r="A27" s="3" t="s">
        <v>40</v>
      </c>
      <c r="D27" s="6">
        <v>76</v>
      </c>
      <c r="E27" s="6">
        <v>39</v>
      </c>
      <c r="F27" s="6">
        <v>2</v>
      </c>
      <c r="G27" s="6">
        <v>0</v>
      </c>
      <c r="H27" s="6">
        <v>113</v>
      </c>
      <c r="I27" s="6">
        <v>0</v>
      </c>
      <c r="J27" s="6">
        <v>0</v>
      </c>
      <c r="K27" s="6">
        <v>18</v>
      </c>
      <c r="L27" s="6">
        <v>0</v>
      </c>
      <c r="M27" s="6">
        <v>0</v>
      </c>
      <c r="N27" s="6">
        <v>95</v>
      </c>
      <c r="O27" s="6">
        <v>0.8</v>
      </c>
      <c r="P27" s="6">
        <v>2.1</v>
      </c>
      <c r="Q27" s="6">
        <v>100</v>
      </c>
      <c r="R27" s="6">
        <v>95</v>
      </c>
    </row>
    <row r="28" spans="1:18">
      <c r="A28" s="3" t="s">
        <v>41</v>
      </c>
      <c r="D28" s="6">
        <v>1789</v>
      </c>
      <c r="E28" s="6">
        <v>411</v>
      </c>
      <c r="F28" s="6">
        <v>2</v>
      </c>
      <c r="G28" s="6">
        <v>30</v>
      </c>
      <c r="H28" s="6">
        <v>2168</v>
      </c>
      <c r="I28" s="6">
        <v>2</v>
      </c>
      <c r="J28" s="6">
        <v>0</v>
      </c>
      <c r="K28" s="6">
        <v>21</v>
      </c>
      <c r="L28" s="6">
        <v>3</v>
      </c>
      <c r="M28" s="6">
        <v>17</v>
      </c>
      <c r="N28" s="6">
        <v>2125</v>
      </c>
      <c r="O28" s="6">
        <v>17</v>
      </c>
      <c r="P28" s="6">
        <v>46.6</v>
      </c>
      <c r="Q28" s="6">
        <v>100</v>
      </c>
      <c r="R28" s="6">
        <v>2125</v>
      </c>
    </row>
    <row r="29" spans="1:18">
      <c r="A29" s="3" t="s">
        <v>42</v>
      </c>
      <c r="D29" s="6">
        <v>886</v>
      </c>
      <c r="E29" s="6">
        <v>28</v>
      </c>
      <c r="F29" s="6">
        <v>9</v>
      </c>
      <c r="G29" s="6">
        <v>37</v>
      </c>
      <c r="H29" s="6">
        <v>868</v>
      </c>
      <c r="I29" s="6">
        <v>0</v>
      </c>
      <c r="J29" s="6">
        <v>0</v>
      </c>
      <c r="K29" s="6">
        <v>55</v>
      </c>
      <c r="L29" s="6">
        <v>1</v>
      </c>
      <c r="M29" s="6">
        <v>5</v>
      </c>
      <c r="N29" s="6">
        <v>807</v>
      </c>
      <c r="O29" s="6">
        <v>6.5</v>
      </c>
      <c r="P29" s="6">
        <v>17.7</v>
      </c>
      <c r="Q29" s="6">
        <v>73.8</v>
      </c>
      <c r="R29" s="6">
        <v>595</v>
      </c>
    </row>
    <row r="30" spans="1:18">
      <c r="A30" s="3" t="s">
        <v>43</v>
      </c>
      <c r="D30" s="6">
        <v>467</v>
      </c>
      <c r="E30" s="6">
        <v>0</v>
      </c>
      <c r="F30" s="6">
        <v>21</v>
      </c>
      <c r="G30" s="6">
        <v>0</v>
      </c>
      <c r="H30" s="6">
        <v>446</v>
      </c>
      <c r="I30" s="6">
        <v>0</v>
      </c>
      <c r="J30" s="6">
        <v>0</v>
      </c>
      <c r="K30" s="6">
        <v>0</v>
      </c>
      <c r="L30" s="6">
        <v>1</v>
      </c>
      <c r="M30" s="6">
        <v>1</v>
      </c>
      <c r="N30" s="6">
        <v>444</v>
      </c>
      <c r="O30" s="6">
        <v>3.6</v>
      </c>
      <c r="P30" s="6">
        <v>9.6999999999999993</v>
      </c>
      <c r="Q30" s="6">
        <v>100</v>
      </c>
      <c r="R30" s="6">
        <v>444</v>
      </c>
    </row>
    <row r="31" spans="1:18">
      <c r="A31" s="3" t="s">
        <v>44</v>
      </c>
      <c r="D31" s="6">
        <v>695</v>
      </c>
      <c r="E31" s="6">
        <v>3</v>
      </c>
      <c r="F31" s="6">
        <v>47</v>
      </c>
      <c r="G31" s="6">
        <v>-1</v>
      </c>
      <c r="H31" s="6">
        <v>652</v>
      </c>
      <c r="I31" s="6">
        <v>0</v>
      </c>
      <c r="J31" s="6">
        <v>0</v>
      </c>
      <c r="K31" s="6">
        <v>0</v>
      </c>
      <c r="L31" s="6">
        <v>1</v>
      </c>
      <c r="M31" s="6">
        <v>2</v>
      </c>
      <c r="N31" s="6">
        <v>649</v>
      </c>
      <c r="O31" s="6">
        <v>5.2</v>
      </c>
      <c r="P31" s="6">
        <v>14.2</v>
      </c>
      <c r="Q31" s="6">
        <v>100</v>
      </c>
      <c r="R31" s="6">
        <v>649</v>
      </c>
    </row>
    <row r="32" spans="1:18">
      <c r="A32" s="3" t="s">
        <v>45</v>
      </c>
      <c r="D32" s="6">
        <v>2343</v>
      </c>
      <c r="E32" s="6">
        <v>1654</v>
      </c>
      <c r="F32" s="6">
        <v>0</v>
      </c>
      <c r="G32" s="6">
        <v>7</v>
      </c>
      <c r="H32" s="6">
        <v>3990</v>
      </c>
      <c r="I32" s="6">
        <v>3067</v>
      </c>
      <c r="J32" s="6">
        <v>0</v>
      </c>
      <c r="K32" s="6">
        <v>257</v>
      </c>
      <c r="L32" s="6">
        <v>0</v>
      </c>
      <c r="M32" s="6">
        <v>26</v>
      </c>
      <c r="N32" s="6">
        <v>640</v>
      </c>
      <c r="O32" s="6">
        <v>5.0999999999999996</v>
      </c>
      <c r="P32" s="6">
        <v>14</v>
      </c>
      <c r="Q32" s="6">
        <v>89.2</v>
      </c>
      <c r="R32" s="6">
        <v>571</v>
      </c>
    </row>
    <row r="33" spans="1:18">
      <c r="A33" s="11" t="s">
        <v>46</v>
      </c>
      <c r="D33" s="6">
        <v>497</v>
      </c>
      <c r="E33" s="6">
        <v>804</v>
      </c>
      <c r="F33" s="6">
        <v>11</v>
      </c>
      <c r="G33" s="6">
        <v>31</v>
      </c>
      <c r="H33" s="6">
        <v>1259</v>
      </c>
      <c r="I33" s="6">
        <v>0</v>
      </c>
      <c r="J33" s="6">
        <v>0</v>
      </c>
      <c r="K33" s="6">
        <v>0</v>
      </c>
      <c r="L33" s="6">
        <v>2</v>
      </c>
      <c r="M33" s="6">
        <v>25</v>
      </c>
      <c r="N33" s="6">
        <v>1232</v>
      </c>
      <c r="Q33" s="6">
        <v>63</v>
      </c>
      <c r="R33" s="6">
        <v>776</v>
      </c>
    </row>
    <row r="34" spans="1:18">
      <c r="A34" s="11" t="s">
        <v>47</v>
      </c>
      <c r="D34" s="6">
        <v>1287</v>
      </c>
      <c r="E34" s="6">
        <v>1407</v>
      </c>
      <c r="F34" s="6">
        <v>2</v>
      </c>
      <c r="G34" s="6">
        <v>42</v>
      </c>
      <c r="H34" s="6">
        <v>2650</v>
      </c>
      <c r="I34" s="6">
        <v>0</v>
      </c>
      <c r="J34" s="6">
        <v>0</v>
      </c>
      <c r="K34" s="6">
        <v>0</v>
      </c>
      <c r="L34" s="6">
        <v>4</v>
      </c>
      <c r="M34" s="6">
        <v>53</v>
      </c>
      <c r="N34" s="6">
        <v>2593</v>
      </c>
      <c r="Q34" s="6">
        <v>63</v>
      </c>
      <c r="R34" s="6">
        <v>1634</v>
      </c>
    </row>
    <row r="35" spans="1:18">
      <c r="A35" s="11" t="s">
        <v>48</v>
      </c>
      <c r="D35" s="6">
        <v>1681</v>
      </c>
      <c r="E35" s="6">
        <v>937</v>
      </c>
      <c r="F35" s="6">
        <v>3</v>
      </c>
      <c r="G35" s="6">
        <v>-1</v>
      </c>
      <c r="H35" s="6">
        <v>2616</v>
      </c>
      <c r="I35" s="6">
        <v>0</v>
      </c>
      <c r="J35" s="6">
        <v>0</v>
      </c>
      <c r="K35" s="6">
        <v>0</v>
      </c>
      <c r="L35" s="6">
        <v>4</v>
      </c>
      <c r="M35" s="6">
        <v>52</v>
      </c>
      <c r="N35" s="6">
        <v>2560</v>
      </c>
      <c r="Q35" s="6">
        <v>71</v>
      </c>
      <c r="R35" s="6">
        <v>1818</v>
      </c>
    </row>
    <row r="36" spans="1:18">
      <c r="A36" s="11" t="s">
        <v>49</v>
      </c>
      <c r="D36" s="6">
        <v>2537</v>
      </c>
      <c r="E36" s="6">
        <v>117</v>
      </c>
      <c r="F36" s="6">
        <v>27</v>
      </c>
      <c r="G36" s="6">
        <v>0</v>
      </c>
      <c r="H36" s="6">
        <v>2627</v>
      </c>
      <c r="I36" s="6">
        <v>0</v>
      </c>
      <c r="J36" s="6">
        <v>84</v>
      </c>
      <c r="K36" s="6">
        <v>0</v>
      </c>
      <c r="L36" s="6">
        <v>4</v>
      </c>
      <c r="M36" s="6">
        <v>51</v>
      </c>
      <c r="N36" s="6">
        <v>2488</v>
      </c>
      <c r="Q36" s="6">
        <v>85</v>
      </c>
      <c r="R36" s="6">
        <v>2115</v>
      </c>
    </row>
    <row r="37" spans="1:18">
      <c r="A37" s="11" t="s">
        <v>50</v>
      </c>
      <c r="D37" s="6">
        <v>7532</v>
      </c>
      <c r="E37" s="6">
        <v>4450</v>
      </c>
      <c r="F37" s="6">
        <v>137</v>
      </c>
      <c r="G37" s="6">
        <v>-361</v>
      </c>
      <c r="H37" s="6">
        <v>12206</v>
      </c>
      <c r="I37" s="6">
        <v>170</v>
      </c>
      <c r="J37" s="6">
        <v>0</v>
      </c>
      <c r="K37" s="6">
        <v>0</v>
      </c>
      <c r="L37" s="6">
        <v>18</v>
      </c>
      <c r="M37" s="6">
        <v>282</v>
      </c>
      <c r="N37" s="6">
        <v>11736</v>
      </c>
      <c r="Q37" s="6">
        <v>100</v>
      </c>
      <c r="R37" s="6">
        <v>11736</v>
      </c>
    </row>
  </sheetData>
  <phoneticPr fontId="8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36B0-BD28-48AA-A014-0E1326F7B0BF}">
  <dimension ref="A1:I6"/>
  <sheetViews>
    <sheetView workbookViewId="0">
      <selection activeCell="F15" sqref="F15"/>
    </sheetView>
  </sheetViews>
  <sheetFormatPr defaultRowHeight="18"/>
  <cols>
    <col min="1" max="1" width="8.6640625" style="6"/>
    <col min="2" max="3" width="9.6640625" style="6" bestFit="1" customWidth="1"/>
    <col min="4" max="9" width="8.75" style="6" bestFit="1" customWidth="1"/>
    <col min="10" max="16384" width="8.6640625" style="6"/>
  </cols>
  <sheetData>
    <row r="1" spans="1:9"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</row>
    <row r="2" spans="1:9">
      <c r="A2" s="6" t="s">
        <v>57</v>
      </c>
      <c r="B2" s="12">
        <v>70.155834999999996</v>
      </c>
      <c r="C2" s="12">
        <v>151.344165</v>
      </c>
      <c r="D2" s="12">
        <v>190.90482</v>
      </c>
      <c r="E2" s="12">
        <v>227.09518</v>
      </c>
      <c r="F2" s="12">
        <v>3.05</v>
      </c>
      <c r="G2" s="12">
        <v>498.1</v>
      </c>
      <c r="H2" s="12"/>
      <c r="I2" s="12"/>
    </row>
    <row r="3" spans="1:9">
      <c r="A3" s="6" t="s">
        <v>58</v>
      </c>
      <c r="B3" s="12">
        <v>435.29598700000003</v>
      </c>
      <c r="C3" s="12">
        <v>424.304013</v>
      </c>
      <c r="D3" s="12">
        <v>120.47264</v>
      </c>
      <c r="E3" s="12">
        <v>31.627359999999999</v>
      </c>
      <c r="F3" s="12">
        <v>49.25</v>
      </c>
      <c r="G3" s="12">
        <v>57.49</v>
      </c>
      <c r="H3" s="12"/>
      <c r="I3" s="12"/>
    </row>
    <row r="4" spans="1:9">
      <c r="A4" s="6" t="s">
        <v>59</v>
      </c>
      <c r="B4" s="12">
        <v>713.54900899999984</v>
      </c>
      <c r="C4" s="12">
        <v>539.55099100000018</v>
      </c>
      <c r="D4" s="12">
        <v>313.07092000000006</v>
      </c>
      <c r="E4" s="12">
        <v>209.02907999999999</v>
      </c>
      <c r="F4" s="12">
        <v>199.4</v>
      </c>
      <c r="G4" s="12">
        <v>27.452000000000002</v>
      </c>
      <c r="H4" s="12"/>
      <c r="I4" s="12"/>
    </row>
    <row r="5" spans="1:9">
      <c r="A5" s="6" t="s">
        <v>60</v>
      </c>
      <c r="B5" s="12">
        <v>0.34030300000000002</v>
      </c>
      <c r="C5" s="12">
        <v>0.36169699999999999</v>
      </c>
      <c r="D5" s="12">
        <v>5.0959500000000011</v>
      </c>
      <c r="E5" s="12">
        <v>22.404049999999998</v>
      </c>
      <c r="F5" s="12">
        <v>1.88</v>
      </c>
      <c r="G5" s="12">
        <v>6</v>
      </c>
      <c r="H5" s="12"/>
      <c r="I5" s="12"/>
    </row>
    <row r="6" spans="1:9">
      <c r="B6" s="12"/>
      <c r="C6" s="12"/>
      <c r="D6" s="12"/>
      <c r="E6" s="12"/>
      <c r="F6" s="12"/>
      <c r="G6" s="12"/>
      <c r="H6" s="12"/>
      <c r="I6" s="12"/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F7DB-E464-4F63-88F0-01FBA053E86D}">
  <dimension ref="A1:C5"/>
  <sheetViews>
    <sheetView workbookViewId="0">
      <selection activeCell="H14" sqref="H14"/>
    </sheetView>
  </sheetViews>
  <sheetFormatPr defaultRowHeight="18"/>
  <cols>
    <col min="1" max="16384" width="8.6640625" style="6"/>
  </cols>
  <sheetData>
    <row r="1" spans="1:3">
      <c r="B1" s="6" t="s">
        <v>61</v>
      </c>
      <c r="C1" s="6" t="s">
        <v>62</v>
      </c>
    </row>
    <row r="2" spans="1:3">
      <c r="A2" s="6" t="s">
        <v>57</v>
      </c>
      <c r="B2" s="6">
        <v>9.6000000000000002E-2</v>
      </c>
      <c r="C2" s="6">
        <v>0.7</v>
      </c>
    </row>
    <row r="3" spans="1:3">
      <c r="A3" s="6" t="s">
        <v>58</v>
      </c>
      <c r="B3" s="6">
        <v>1.4370000000000001</v>
      </c>
      <c r="C3" s="6">
        <v>1.1100000000000001</v>
      </c>
    </row>
    <row r="4" spans="1:3">
      <c r="A4" s="6" t="s">
        <v>59</v>
      </c>
      <c r="B4" s="6">
        <v>5.3840000000000003</v>
      </c>
      <c r="C4" s="6">
        <v>5.5149999999999997</v>
      </c>
    </row>
    <row r="5" spans="1:3">
      <c r="A5" s="6" t="s">
        <v>60</v>
      </c>
      <c r="B5" s="6">
        <v>4.9000000000000002E-2</v>
      </c>
      <c r="C5" s="6">
        <v>0.13400000000000001</v>
      </c>
    </row>
  </sheetData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C626-3035-458B-9BAB-912D4E220E67}">
  <dimension ref="A1:B8"/>
  <sheetViews>
    <sheetView tabSelected="1" workbookViewId="0">
      <selection sqref="A1:B7"/>
    </sheetView>
  </sheetViews>
  <sheetFormatPr defaultRowHeight="18"/>
  <cols>
    <col min="1" max="1" width="14.75" customWidth="1"/>
    <col min="2" max="2" width="15.5" customWidth="1"/>
  </cols>
  <sheetData>
    <row r="1" spans="1:2">
      <c r="A1" s="34" t="s">
        <v>106</v>
      </c>
      <c r="B1" s="34">
        <v>861700</v>
      </c>
    </row>
    <row r="2" spans="1:2">
      <c r="A2" s="34" t="s">
        <v>100</v>
      </c>
      <c r="B2" s="34">
        <v>237760</v>
      </c>
    </row>
    <row r="3" spans="1:2">
      <c r="A3" s="34" t="s">
        <v>101</v>
      </c>
      <c r="B3" s="34">
        <v>62300</v>
      </c>
    </row>
    <row r="4" spans="1:2">
      <c r="A4" s="34" t="s">
        <v>102</v>
      </c>
      <c r="B4" s="34">
        <v>447200</v>
      </c>
    </row>
    <row r="5" spans="1:2">
      <c r="A5" s="34" t="s">
        <v>103</v>
      </c>
      <c r="B5" s="34">
        <v>8949000</v>
      </c>
    </row>
    <row r="6" spans="1:2">
      <c r="A6" s="34" t="s">
        <v>104</v>
      </c>
      <c r="B6" s="34">
        <v>139230000</v>
      </c>
    </row>
    <row r="7" spans="1:2" ht="18" customHeight="1">
      <c r="A7" s="34" t="s">
        <v>105</v>
      </c>
      <c r="B7" s="34">
        <v>182661000</v>
      </c>
    </row>
    <row r="8" spans="1:2" ht="18" customHeight="1"/>
  </sheetData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28C-4EFE-4AC9-8D46-0A18EBF09292}">
  <dimension ref="A1:E9"/>
  <sheetViews>
    <sheetView workbookViewId="0">
      <selection activeCell="B12" sqref="B12"/>
    </sheetView>
  </sheetViews>
  <sheetFormatPr defaultRowHeight="18"/>
  <cols>
    <col min="1" max="3" width="12.58203125" style="6" customWidth="1"/>
    <col min="4" max="5" width="12.6640625" style="6" customWidth="1"/>
    <col min="6" max="16384" width="8.6640625" style="6"/>
  </cols>
  <sheetData>
    <row r="1" spans="1:5">
      <c r="B1" s="6" t="s">
        <v>107</v>
      </c>
      <c r="C1" s="6" t="s">
        <v>108</v>
      </c>
      <c r="D1" s="6" t="s">
        <v>109</v>
      </c>
      <c r="E1" s="6" t="s">
        <v>110</v>
      </c>
    </row>
    <row r="2" spans="1:5">
      <c r="A2" s="6" t="s">
        <v>111</v>
      </c>
      <c r="B2" s="6">
        <v>4054.4</v>
      </c>
      <c r="C2" s="9">
        <v>17.559656652360513</v>
      </c>
      <c r="D2" s="9">
        <v>19.510729613733904</v>
      </c>
      <c r="E2" s="9">
        <v>21.461802575107296</v>
      </c>
    </row>
    <row r="3" spans="1:5">
      <c r="A3" s="6" t="s">
        <v>100</v>
      </c>
      <c r="B3" s="6">
        <v>3243.5</v>
      </c>
      <c r="C3" s="9">
        <v>15.023734177215191</v>
      </c>
      <c r="D3" s="9">
        <v>16.693037974683545</v>
      </c>
      <c r="E3" s="9">
        <v>18.3623417721519</v>
      </c>
    </row>
    <row r="4" spans="1:5">
      <c r="A4" s="6" t="s">
        <v>101</v>
      </c>
      <c r="B4" s="6">
        <v>2635.4</v>
      </c>
      <c r="C4" s="9">
        <v>14.977099236641219</v>
      </c>
      <c r="D4" s="9">
        <v>16.641221374045799</v>
      </c>
      <c r="E4" s="9">
        <v>18.305343511450381</v>
      </c>
    </row>
    <row r="5" spans="1:5">
      <c r="A5" s="6" t="s">
        <v>112</v>
      </c>
      <c r="B5" s="6">
        <v>1216.3</v>
      </c>
      <c r="C5" s="9">
        <v>15.813299232736574</v>
      </c>
      <c r="D5" s="9">
        <v>17.570332480818415</v>
      </c>
      <c r="E5" s="9">
        <v>19.327365728900258</v>
      </c>
    </row>
    <row r="6" spans="1:5">
      <c r="A6" s="6" t="s">
        <v>103</v>
      </c>
      <c r="B6" s="6">
        <v>541.5</v>
      </c>
      <c r="C6" s="9">
        <v>17.45</v>
      </c>
      <c r="D6" s="9">
        <v>19.388888888888889</v>
      </c>
      <c r="E6" s="9">
        <v>21.327777777777779</v>
      </c>
    </row>
    <row r="7" spans="1:5">
      <c r="A7" s="6" t="s">
        <v>104</v>
      </c>
      <c r="B7" s="6">
        <v>25.3</v>
      </c>
      <c r="C7" s="9">
        <v>14.4</v>
      </c>
      <c r="D7" s="9">
        <v>16</v>
      </c>
      <c r="E7" s="9">
        <v>17.600000000000001</v>
      </c>
    </row>
    <row r="8" spans="1:5">
      <c r="A8" s="6" t="s">
        <v>105</v>
      </c>
      <c r="B8" s="6">
        <v>25.2</v>
      </c>
      <c r="C8" s="9">
        <v>12.870000000000001</v>
      </c>
      <c r="D8" s="9">
        <v>14.3</v>
      </c>
      <c r="E8" s="9">
        <v>15.730000000000002</v>
      </c>
    </row>
    <row r="9" spans="1:5">
      <c r="C9" s="15"/>
      <c r="E9" s="15"/>
    </row>
  </sheetData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0889-661D-49D8-BEAC-9EDE23BD4954}">
  <dimension ref="A1:T21"/>
  <sheetViews>
    <sheetView workbookViewId="0">
      <pane xSplit="2" ySplit="1" topLeftCell="C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defaultRowHeight="18"/>
  <cols>
    <col min="1" max="1" width="12.6640625" style="6" customWidth="1"/>
    <col min="2" max="20" width="12.58203125" style="6" customWidth="1"/>
    <col min="21" max="16384" width="8.6640625" style="6"/>
  </cols>
  <sheetData>
    <row r="1" spans="1:20">
      <c r="B1" s="16"/>
      <c r="C1" s="6" t="s">
        <v>113</v>
      </c>
      <c r="D1" s="6" t="s">
        <v>114</v>
      </c>
      <c r="E1" s="6" t="s">
        <v>115</v>
      </c>
      <c r="F1" s="6" t="s">
        <v>116</v>
      </c>
      <c r="G1" s="6" t="s">
        <v>117</v>
      </c>
      <c r="H1" s="6" t="s">
        <v>118</v>
      </c>
      <c r="I1" s="6" t="s">
        <v>119</v>
      </c>
      <c r="J1" s="6" t="s">
        <v>120</v>
      </c>
      <c r="K1" s="6" t="s">
        <v>121</v>
      </c>
      <c r="L1" s="6" t="s">
        <v>122</v>
      </c>
      <c r="M1" s="6" t="s">
        <v>123</v>
      </c>
      <c r="N1" s="6" t="s">
        <v>124</v>
      </c>
      <c r="O1" s="6" t="s">
        <v>125</v>
      </c>
      <c r="P1" s="17" t="s">
        <v>126</v>
      </c>
      <c r="Q1" s="17" t="s">
        <v>99</v>
      </c>
      <c r="R1" s="17" t="s">
        <v>127</v>
      </c>
      <c r="S1" s="17" t="s">
        <v>128</v>
      </c>
      <c r="T1" s="17" t="s">
        <v>129</v>
      </c>
    </row>
    <row r="2" spans="1:20">
      <c r="A2" s="18" t="s">
        <v>111</v>
      </c>
      <c r="B2" s="19" t="s">
        <v>107</v>
      </c>
      <c r="C2" s="18">
        <v>59.2</v>
      </c>
      <c r="D2" s="18">
        <v>37.700000000000003</v>
      </c>
      <c r="E2" s="18">
        <v>38</v>
      </c>
      <c r="F2" s="18">
        <v>7.4</v>
      </c>
      <c r="G2" s="18">
        <v>55.8</v>
      </c>
      <c r="H2" s="18">
        <v>62.7</v>
      </c>
      <c r="I2" s="18">
        <v>76.599999999999994</v>
      </c>
      <c r="J2" s="18">
        <v>64.5</v>
      </c>
      <c r="K2" s="18">
        <v>67.3</v>
      </c>
      <c r="L2" s="18">
        <v>51.7</v>
      </c>
      <c r="M2" s="18">
        <v>28.5</v>
      </c>
      <c r="N2" s="18"/>
      <c r="O2" s="18"/>
      <c r="P2" s="18">
        <v>79.900000000000006</v>
      </c>
      <c r="Q2" s="18">
        <v>78.400000000000006</v>
      </c>
      <c r="R2" s="18">
        <v>81.3</v>
      </c>
      <c r="S2" s="18">
        <v>74.099999999999994</v>
      </c>
      <c r="T2" s="18">
        <v>81.3</v>
      </c>
    </row>
    <row r="3" spans="1:20">
      <c r="A3" s="17" t="s">
        <v>111</v>
      </c>
      <c r="B3" s="20" t="s">
        <v>130</v>
      </c>
      <c r="C3" s="17">
        <v>9.1</v>
      </c>
      <c r="D3" s="17">
        <v>4.2</v>
      </c>
      <c r="E3" s="17">
        <v>4.2</v>
      </c>
      <c r="F3" s="17">
        <v>5.5</v>
      </c>
      <c r="G3" s="17">
        <v>14.8</v>
      </c>
      <c r="H3" s="17">
        <v>15.7</v>
      </c>
      <c r="I3" s="17">
        <v>45</v>
      </c>
      <c r="J3" s="17">
        <v>37.299999999999997</v>
      </c>
      <c r="K3" s="17">
        <v>8.5</v>
      </c>
      <c r="L3" s="17">
        <v>14.2</v>
      </c>
      <c r="M3" s="17">
        <v>1.8</v>
      </c>
      <c r="N3" s="17"/>
      <c r="O3" s="17"/>
      <c r="P3" s="17">
        <v>7.6</v>
      </c>
      <c r="Q3" s="17">
        <v>8.8000000000000007</v>
      </c>
      <c r="R3" s="17">
        <v>12.1</v>
      </c>
      <c r="S3" s="17">
        <v>10.6</v>
      </c>
      <c r="T3" s="17">
        <v>7.5</v>
      </c>
    </row>
    <row r="4" spans="1:20">
      <c r="A4" s="6" t="s">
        <v>131</v>
      </c>
      <c r="B4" s="16" t="s">
        <v>107</v>
      </c>
      <c r="C4" s="6">
        <v>59.2</v>
      </c>
      <c r="D4" s="6">
        <v>37.700000000000003</v>
      </c>
      <c r="E4" s="6">
        <v>38</v>
      </c>
      <c r="F4" s="6">
        <v>7.4</v>
      </c>
      <c r="G4" s="6">
        <v>55.8</v>
      </c>
      <c r="H4" s="6">
        <v>62.7</v>
      </c>
      <c r="I4" s="6">
        <v>76.599999999999994</v>
      </c>
      <c r="J4" s="6">
        <v>64.5</v>
      </c>
      <c r="K4" s="6">
        <v>67.3</v>
      </c>
      <c r="L4" s="6">
        <v>51.7</v>
      </c>
      <c r="M4" s="6">
        <v>28.5</v>
      </c>
      <c r="O4" s="18"/>
      <c r="P4" s="6">
        <v>79.900000000000006</v>
      </c>
      <c r="Q4" s="6">
        <v>78.400000000000006</v>
      </c>
      <c r="R4" s="6">
        <v>81.3</v>
      </c>
      <c r="S4" s="6">
        <v>74.099999999999994</v>
      </c>
      <c r="T4" s="6">
        <v>81.3</v>
      </c>
    </row>
    <row r="5" spans="1:20">
      <c r="A5" s="17" t="s">
        <v>131</v>
      </c>
      <c r="B5" s="20" t="s">
        <v>130</v>
      </c>
      <c r="C5" s="17">
        <v>9.1</v>
      </c>
      <c r="D5" s="17">
        <v>4.2</v>
      </c>
      <c r="E5" s="17">
        <v>4.2</v>
      </c>
      <c r="F5" s="17">
        <v>5.5</v>
      </c>
      <c r="G5" s="17">
        <v>14.8</v>
      </c>
      <c r="H5" s="17">
        <v>15.7</v>
      </c>
      <c r="I5" s="17">
        <v>45</v>
      </c>
      <c r="J5" s="17">
        <v>37.299999999999997</v>
      </c>
      <c r="K5" s="17">
        <v>8.5</v>
      </c>
      <c r="L5" s="17">
        <v>14.2</v>
      </c>
      <c r="M5" s="17">
        <v>1.8</v>
      </c>
      <c r="N5" s="17"/>
      <c r="O5" s="17"/>
      <c r="P5" s="6">
        <v>7.6</v>
      </c>
      <c r="Q5" s="6">
        <v>8.8000000000000007</v>
      </c>
      <c r="R5" s="6">
        <v>12.1</v>
      </c>
      <c r="S5" s="6">
        <v>10.6</v>
      </c>
      <c r="T5" s="6">
        <v>7.5</v>
      </c>
    </row>
    <row r="6" spans="1:20">
      <c r="A6" s="6" t="s">
        <v>132</v>
      </c>
      <c r="B6" s="16" t="s">
        <v>107</v>
      </c>
      <c r="C6" s="18">
        <v>59.2</v>
      </c>
      <c r="D6" s="6">
        <v>37.700000000000003</v>
      </c>
      <c r="E6" s="6">
        <v>38</v>
      </c>
      <c r="F6" s="6">
        <v>7.4</v>
      </c>
      <c r="G6" s="6">
        <v>55.8</v>
      </c>
      <c r="H6" s="6">
        <v>62.7</v>
      </c>
      <c r="I6" s="6">
        <v>76.599999999999994</v>
      </c>
      <c r="J6" s="6">
        <v>64.5</v>
      </c>
      <c r="K6" s="6">
        <v>67.3</v>
      </c>
      <c r="L6" s="6">
        <v>51.7</v>
      </c>
      <c r="M6" s="6">
        <v>28.5</v>
      </c>
      <c r="O6" s="18"/>
      <c r="P6" s="18">
        <v>79.900000000000006</v>
      </c>
      <c r="Q6" s="18">
        <v>78.400000000000006</v>
      </c>
      <c r="R6" s="18">
        <v>81.3</v>
      </c>
      <c r="S6" s="18">
        <v>74.099999999999994</v>
      </c>
      <c r="T6" s="18">
        <v>81.3</v>
      </c>
    </row>
    <row r="7" spans="1:20">
      <c r="A7" s="17" t="s">
        <v>132</v>
      </c>
      <c r="B7" s="20" t="s">
        <v>130</v>
      </c>
      <c r="C7" s="17">
        <v>9.1</v>
      </c>
      <c r="D7" s="17">
        <v>4.2</v>
      </c>
      <c r="E7" s="17">
        <v>4.2</v>
      </c>
      <c r="F7" s="17">
        <v>5.5</v>
      </c>
      <c r="G7" s="17">
        <v>14.8</v>
      </c>
      <c r="H7" s="17">
        <v>15.7</v>
      </c>
      <c r="I7" s="17">
        <v>45</v>
      </c>
      <c r="J7" s="17">
        <v>37.299999999999997</v>
      </c>
      <c r="K7" s="17">
        <v>8.5</v>
      </c>
      <c r="L7" s="17">
        <v>14.2</v>
      </c>
      <c r="M7" s="17">
        <v>1.8</v>
      </c>
      <c r="N7" s="17"/>
      <c r="O7" s="17"/>
      <c r="P7" s="17">
        <v>7.6</v>
      </c>
      <c r="Q7" s="17">
        <v>8.8000000000000007</v>
      </c>
      <c r="R7" s="17">
        <v>12.1</v>
      </c>
      <c r="S7" s="17">
        <v>10.6</v>
      </c>
      <c r="T7" s="17">
        <v>7.5</v>
      </c>
    </row>
    <row r="8" spans="1:20">
      <c r="A8" s="6" t="s">
        <v>112</v>
      </c>
      <c r="B8" s="16" t="s">
        <v>107</v>
      </c>
      <c r="C8" s="18">
        <v>59.2</v>
      </c>
      <c r="D8" s="6">
        <v>37.700000000000003</v>
      </c>
      <c r="E8" s="6">
        <v>38</v>
      </c>
      <c r="F8" s="6">
        <v>7.4</v>
      </c>
      <c r="G8" s="6">
        <v>55.8</v>
      </c>
      <c r="H8" s="6">
        <v>62.7</v>
      </c>
      <c r="I8" s="6">
        <v>76.599999999999994</v>
      </c>
      <c r="J8" s="6">
        <v>64.5</v>
      </c>
      <c r="K8" s="6">
        <v>67.3</v>
      </c>
      <c r="L8" s="6">
        <v>51.7</v>
      </c>
      <c r="M8" s="6">
        <v>28.5</v>
      </c>
      <c r="O8" s="18"/>
      <c r="P8" s="6">
        <v>79.900000000000006</v>
      </c>
      <c r="Q8" s="6">
        <v>78.400000000000006</v>
      </c>
      <c r="R8" s="6">
        <v>81.3</v>
      </c>
      <c r="S8" s="6">
        <v>74.099999999999994</v>
      </c>
      <c r="T8" s="6">
        <v>81.3</v>
      </c>
    </row>
    <row r="9" spans="1:20">
      <c r="A9" s="6" t="s">
        <v>112</v>
      </c>
      <c r="B9" s="16" t="s">
        <v>130</v>
      </c>
      <c r="C9" s="6">
        <v>9.1</v>
      </c>
      <c r="D9" s="6">
        <v>4.2</v>
      </c>
      <c r="E9" s="6">
        <v>4.2</v>
      </c>
      <c r="F9" s="6">
        <v>5.5</v>
      </c>
      <c r="G9" s="6">
        <v>14.8</v>
      </c>
      <c r="H9" s="6">
        <v>15.7</v>
      </c>
      <c r="I9" s="6">
        <v>45</v>
      </c>
      <c r="J9" s="6">
        <v>37.299999999999997</v>
      </c>
      <c r="K9" s="6">
        <v>8.5</v>
      </c>
      <c r="L9" s="6">
        <v>14.2</v>
      </c>
      <c r="M9" s="6">
        <v>1.8</v>
      </c>
      <c r="O9" s="17"/>
      <c r="P9" s="6">
        <v>7.6</v>
      </c>
      <c r="Q9" s="6">
        <v>8.8000000000000007</v>
      </c>
      <c r="R9" s="6">
        <v>12.1</v>
      </c>
      <c r="S9" s="6">
        <v>10.6</v>
      </c>
      <c r="T9" s="6">
        <v>7.5</v>
      </c>
    </row>
    <row r="10" spans="1:20">
      <c r="A10" s="18" t="s">
        <v>133</v>
      </c>
      <c r="B10" s="19" t="s">
        <v>107</v>
      </c>
      <c r="C10" s="18"/>
      <c r="D10" s="18"/>
      <c r="E10" s="18"/>
      <c r="F10" s="18"/>
      <c r="G10" s="18">
        <v>51.6</v>
      </c>
      <c r="H10" s="18">
        <v>58.6</v>
      </c>
      <c r="I10" s="18">
        <v>70.900000000000006</v>
      </c>
      <c r="J10" s="18">
        <v>59.8</v>
      </c>
      <c r="K10" s="18">
        <v>63.7</v>
      </c>
      <c r="L10" s="18">
        <v>51.2</v>
      </c>
      <c r="M10" s="18"/>
      <c r="N10" s="18">
        <v>63.1</v>
      </c>
      <c r="O10" s="18">
        <v>62.2</v>
      </c>
      <c r="P10" s="18">
        <v>81</v>
      </c>
      <c r="Q10" s="18">
        <v>80.900000000000006</v>
      </c>
      <c r="R10" s="18">
        <v>82.5</v>
      </c>
      <c r="S10" s="18">
        <v>70.400000000000006</v>
      </c>
      <c r="T10" s="18">
        <v>82.5</v>
      </c>
    </row>
    <row r="11" spans="1:20">
      <c r="A11" s="17" t="s">
        <v>133</v>
      </c>
      <c r="B11" s="20" t="s">
        <v>130</v>
      </c>
      <c r="C11" s="17"/>
      <c r="D11" s="17"/>
      <c r="E11" s="17"/>
      <c r="F11" s="17"/>
      <c r="G11" s="17">
        <v>14.8</v>
      </c>
      <c r="H11" s="17">
        <v>14.8</v>
      </c>
      <c r="I11" s="17">
        <v>45</v>
      </c>
      <c r="J11" s="17">
        <v>37.299999999999997</v>
      </c>
      <c r="K11" s="17">
        <v>8.5</v>
      </c>
      <c r="L11" s="17">
        <v>14.2</v>
      </c>
      <c r="M11" s="17"/>
      <c r="N11" s="17">
        <v>58.9</v>
      </c>
      <c r="O11" s="17">
        <v>67</v>
      </c>
      <c r="P11" s="17">
        <v>7.6</v>
      </c>
      <c r="Q11" s="17">
        <v>8.8000000000000007</v>
      </c>
      <c r="R11" s="17">
        <v>12.1</v>
      </c>
      <c r="S11" s="17">
        <v>10.6</v>
      </c>
      <c r="T11" s="17">
        <v>7.5</v>
      </c>
    </row>
    <row r="12" spans="1:20">
      <c r="A12" s="6" t="s">
        <v>104</v>
      </c>
      <c r="B12" s="16" t="s">
        <v>107</v>
      </c>
      <c r="G12" s="6">
        <v>40.299999999999997</v>
      </c>
      <c r="H12" s="6">
        <v>47.1</v>
      </c>
      <c r="I12" s="6">
        <v>70.900000000000006</v>
      </c>
      <c r="J12" s="6">
        <v>59.8</v>
      </c>
      <c r="L12" s="6">
        <v>47.1</v>
      </c>
      <c r="N12" s="6">
        <v>63.1</v>
      </c>
      <c r="O12" s="18">
        <v>62.2</v>
      </c>
      <c r="P12" s="6">
        <v>81</v>
      </c>
      <c r="Q12" s="6">
        <v>80.900000000000006</v>
      </c>
      <c r="R12" s="6">
        <v>82.5</v>
      </c>
      <c r="S12" s="6">
        <v>70.400000000000006</v>
      </c>
      <c r="T12" s="6">
        <v>82.5</v>
      </c>
    </row>
    <row r="13" spans="1:20">
      <c r="A13" s="6" t="s">
        <v>104</v>
      </c>
      <c r="B13" s="16" t="s">
        <v>130</v>
      </c>
      <c r="G13" s="6">
        <v>14.8</v>
      </c>
      <c r="H13" s="6">
        <v>14.8</v>
      </c>
      <c r="I13" s="6">
        <v>45</v>
      </c>
      <c r="J13" s="6">
        <v>37.299999999999997</v>
      </c>
      <c r="L13" s="6">
        <v>14.2</v>
      </c>
      <c r="N13" s="6">
        <v>58.9</v>
      </c>
      <c r="O13" s="6">
        <v>67</v>
      </c>
      <c r="P13" s="6">
        <v>7.6</v>
      </c>
      <c r="Q13" s="6">
        <v>8.8000000000000007</v>
      </c>
      <c r="R13" s="6">
        <v>12.1</v>
      </c>
      <c r="S13" s="6">
        <v>10.6</v>
      </c>
      <c r="T13" s="6">
        <v>7.5</v>
      </c>
    </row>
    <row r="14" spans="1:20">
      <c r="A14" s="18" t="s">
        <v>105</v>
      </c>
      <c r="B14" s="19" t="s">
        <v>107</v>
      </c>
      <c r="C14" s="18"/>
      <c r="D14" s="18"/>
      <c r="E14" s="18"/>
      <c r="F14" s="18"/>
      <c r="G14" s="18">
        <v>40.299999999999997</v>
      </c>
      <c r="H14" s="18">
        <v>47.1</v>
      </c>
      <c r="I14" s="18">
        <v>70.900000000000006</v>
      </c>
      <c r="J14" s="18">
        <v>59.8</v>
      </c>
      <c r="K14" s="18"/>
      <c r="L14" s="18">
        <v>47.1</v>
      </c>
      <c r="M14" s="18"/>
      <c r="N14" s="18">
        <v>63.9</v>
      </c>
      <c r="O14" s="18">
        <v>62.2</v>
      </c>
      <c r="P14" s="18">
        <v>81</v>
      </c>
      <c r="Q14" s="18">
        <v>80.900000000000006</v>
      </c>
      <c r="R14" s="18">
        <v>82.5</v>
      </c>
      <c r="S14" s="18">
        <v>70.400000000000006</v>
      </c>
      <c r="T14" s="18">
        <v>82.5</v>
      </c>
    </row>
    <row r="15" spans="1:20">
      <c r="A15" s="17" t="s">
        <v>105</v>
      </c>
      <c r="B15" s="20" t="s">
        <v>130</v>
      </c>
      <c r="C15" s="17"/>
      <c r="D15" s="17"/>
      <c r="E15" s="17"/>
      <c r="F15" s="17"/>
      <c r="G15" s="17">
        <v>14.8</v>
      </c>
      <c r="H15" s="17">
        <v>14.8</v>
      </c>
      <c r="I15" s="17">
        <v>45</v>
      </c>
      <c r="J15" s="17">
        <v>37.299999999999997</v>
      </c>
      <c r="K15" s="17"/>
      <c r="L15" s="17">
        <v>14.2</v>
      </c>
      <c r="M15" s="17"/>
      <c r="N15" s="17">
        <v>58.9</v>
      </c>
      <c r="O15" s="17">
        <v>67</v>
      </c>
      <c r="P15" s="17">
        <v>7.6</v>
      </c>
      <c r="Q15" s="17">
        <v>8.8000000000000007</v>
      </c>
      <c r="R15" s="17">
        <v>12.1</v>
      </c>
      <c r="S15" s="17">
        <v>10.6</v>
      </c>
      <c r="T15" s="17">
        <v>7.5</v>
      </c>
    </row>
    <row r="21" spans="1:1">
      <c r="A21" s="21"/>
    </row>
  </sheetData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DE31-23F0-4E56-98C9-85F252C08EB6}">
  <dimension ref="A1:O21"/>
  <sheetViews>
    <sheetView workbookViewId="0">
      <selection activeCell="I20" sqref="I20"/>
    </sheetView>
  </sheetViews>
  <sheetFormatPr defaultRowHeight="18"/>
  <cols>
    <col min="1" max="1" width="15.83203125" style="6" customWidth="1"/>
    <col min="2" max="4" width="12.6640625" style="6" customWidth="1"/>
    <col min="5" max="5" width="13.08203125" style="24" customWidth="1"/>
    <col min="6" max="16384" width="8.6640625" style="6"/>
  </cols>
  <sheetData>
    <row r="1" spans="1:15">
      <c r="A1" s="17"/>
      <c r="B1" s="17" t="s">
        <v>134</v>
      </c>
      <c r="C1" s="17" t="s">
        <v>135</v>
      </c>
      <c r="D1" s="17" t="s">
        <v>136</v>
      </c>
      <c r="E1" s="22" t="s">
        <v>137</v>
      </c>
    </row>
    <row r="2" spans="1:15">
      <c r="A2" s="6" t="s">
        <v>138</v>
      </c>
      <c r="C2" s="23">
        <v>2036889</v>
      </c>
      <c r="D2" s="23">
        <v>5012600</v>
      </c>
      <c r="E2" s="24">
        <v>4030620</v>
      </c>
      <c r="N2" s="21"/>
    </row>
    <row r="3" spans="1:15">
      <c r="A3" s="6" t="s">
        <v>139</v>
      </c>
      <c r="C3" s="23"/>
      <c r="D3" s="23">
        <v>677000</v>
      </c>
      <c r="N3" s="21"/>
      <c r="O3" s="21"/>
    </row>
    <row r="4" spans="1:15">
      <c r="A4" s="6" t="s">
        <v>140</v>
      </c>
      <c r="C4" s="23"/>
      <c r="D4" s="23">
        <v>677000</v>
      </c>
      <c r="N4" s="21"/>
    </row>
    <row r="5" spans="1:15">
      <c r="A5" s="17" t="s">
        <v>141</v>
      </c>
      <c r="B5" s="17"/>
      <c r="C5" s="23"/>
      <c r="D5" s="22">
        <v>27179</v>
      </c>
      <c r="E5" s="22"/>
      <c r="N5" s="21"/>
      <c r="O5" s="21"/>
    </row>
    <row r="6" spans="1:15">
      <c r="A6" s="18" t="s">
        <v>142</v>
      </c>
      <c r="B6" s="25">
        <v>6732</v>
      </c>
      <c r="C6" s="26"/>
      <c r="D6" s="27">
        <v>243539</v>
      </c>
      <c r="N6" s="21"/>
    </row>
    <row r="7" spans="1:15">
      <c r="A7" s="6" t="s">
        <v>143</v>
      </c>
      <c r="B7" s="25">
        <v>15665</v>
      </c>
      <c r="C7" s="25">
        <v>100381</v>
      </c>
      <c r="D7" s="27">
        <v>1017531</v>
      </c>
      <c r="N7" s="21"/>
    </row>
    <row r="8" spans="1:15">
      <c r="A8" s="6" t="s">
        <v>119</v>
      </c>
      <c r="B8" s="25">
        <v>62759</v>
      </c>
      <c r="C8" s="25">
        <v>1505191</v>
      </c>
      <c r="D8" s="27">
        <v>3066589</v>
      </c>
      <c r="N8" s="21"/>
    </row>
    <row r="9" spans="1:15">
      <c r="A9" s="6" t="s">
        <v>144</v>
      </c>
      <c r="B9" s="25">
        <v>18581</v>
      </c>
      <c r="C9" s="25">
        <v>8679</v>
      </c>
      <c r="D9" s="27">
        <v>1019985</v>
      </c>
      <c r="N9" s="21"/>
    </row>
    <row r="10" spans="1:15">
      <c r="A10" s="6" t="s">
        <v>145</v>
      </c>
      <c r="B10" s="25">
        <v>4071</v>
      </c>
      <c r="C10" s="25">
        <v>221205</v>
      </c>
      <c r="D10" s="27">
        <v>115423</v>
      </c>
      <c r="I10" s="28"/>
      <c r="N10" s="21"/>
    </row>
    <row r="11" spans="1:15">
      <c r="A11" s="6" t="s">
        <v>146</v>
      </c>
      <c r="B11" s="25">
        <v>5805</v>
      </c>
      <c r="C11" s="25"/>
      <c r="D11" s="27">
        <v>131039</v>
      </c>
      <c r="I11" s="28"/>
      <c r="N11" s="21"/>
    </row>
    <row r="12" spans="1:15">
      <c r="A12" s="6" t="s">
        <v>147</v>
      </c>
      <c r="B12" s="25">
        <v>5001</v>
      </c>
      <c r="C12" s="25"/>
      <c r="D12" s="27">
        <v>151804</v>
      </c>
      <c r="I12" s="28"/>
      <c r="N12" s="21"/>
    </row>
    <row r="13" spans="1:15">
      <c r="A13" s="6" t="s">
        <v>148</v>
      </c>
      <c r="B13" s="25">
        <v>9740</v>
      </c>
      <c r="C13" s="25"/>
      <c r="D13" s="25">
        <v>164387</v>
      </c>
      <c r="E13" s="24">
        <v>164387</v>
      </c>
    </row>
    <row r="14" spans="1:15">
      <c r="A14" s="6" t="s">
        <v>125</v>
      </c>
      <c r="B14" s="25">
        <v>25673</v>
      </c>
      <c r="C14" s="25">
        <v>175356</v>
      </c>
      <c r="D14" s="25">
        <v>55615</v>
      </c>
      <c r="E14" s="24">
        <v>55615</v>
      </c>
    </row>
    <row r="15" spans="1:15">
      <c r="A15" s="6" t="s">
        <v>21</v>
      </c>
      <c r="B15" s="25">
        <v>525016</v>
      </c>
      <c r="C15" s="25">
        <v>10979053</v>
      </c>
      <c r="D15" s="25">
        <v>11256341</v>
      </c>
    </row>
    <row r="16" spans="1:15">
      <c r="A16" s="6" t="s">
        <v>22</v>
      </c>
      <c r="B16" s="25">
        <v>28864</v>
      </c>
      <c r="C16" s="25">
        <v>148522</v>
      </c>
      <c r="D16" s="25">
        <v>231397</v>
      </c>
    </row>
    <row r="17" spans="1:5">
      <c r="A17" s="6" t="s">
        <v>16</v>
      </c>
      <c r="B17" s="25">
        <v>55881</v>
      </c>
      <c r="C17" s="25">
        <v>408748</v>
      </c>
      <c r="D17" s="25">
        <v>659907</v>
      </c>
    </row>
    <row r="18" spans="1:5">
      <c r="A18" s="6" t="s">
        <v>18</v>
      </c>
      <c r="B18" s="25">
        <v>62277</v>
      </c>
      <c r="C18" s="25">
        <v>1083522</v>
      </c>
      <c r="D18" s="25">
        <v>959662</v>
      </c>
    </row>
    <row r="19" spans="1:5">
      <c r="A19" s="17" t="s">
        <v>15</v>
      </c>
      <c r="B19" s="29">
        <v>75186</v>
      </c>
      <c r="C19" s="29"/>
      <c r="D19" s="29">
        <v>1358334</v>
      </c>
      <c r="E19" s="22"/>
    </row>
    <row r="20" spans="1:5" ht="17.399999999999999" customHeight="1"/>
    <row r="21" spans="1:5">
      <c r="B21" s="25"/>
      <c r="C21" s="25"/>
      <c r="D21" s="25"/>
    </row>
  </sheetData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047D-BDAC-431F-9162-9EA9A9BA72DC}">
  <dimension ref="A1:D24"/>
  <sheetViews>
    <sheetView workbookViewId="0">
      <selection activeCell="A17" sqref="A17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66</v>
      </c>
      <c r="B2">
        <v>76</v>
      </c>
      <c r="C2">
        <v>90</v>
      </c>
      <c r="D2">
        <v>96</v>
      </c>
    </row>
    <row r="3" spans="1:4">
      <c r="A3" t="s">
        <v>67</v>
      </c>
      <c r="B3">
        <v>103</v>
      </c>
      <c r="C3">
        <v>123</v>
      </c>
      <c r="D3">
        <v>94</v>
      </c>
    </row>
    <row r="4" spans="1:4">
      <c r="A4" t="s">
        <v>68</v>
      </c>
      <c r="B4">
        <v>103</v>
      </c>
      <c r="C4">
        <v>123</v>
      </c>
      <c r="D4">
        <v>94</v>
      </c>
    </row>
    <row r="5" spans="1:4">
      <c r="A5" t="s">
        <v>69</v>
      </c>
      <c r="B5">
        <v>82</v>
      </c>
      <c r="C5">
        <v>99</v>
      </c>
      <c r="D5">
        <v>99</v>
      </c>
    </row>
    <row r="6" spans="1:4">
      <c r="A6" t="s">
        <v>70</v>
      </c>
      <c r="B6">
        <v>82</v>
      </c>
      <c r="C6">
        <v>99</v>
      </c>
      <c r="D6">
        <v>99</v>
      </c>
    </row>
    <row r="7" spans="1:4">
      <c r="A7" t="s">
        <v>71</v>
      </c>
      <c r="B7">
        <v>106</v>
      </c>
      <c r="C7">
        <v>81</v>
      </c>
      <c r="D7">
        <v>118</v>
      </c>
    </row>
    <row r="8" spans="1:4">
      <c r="A8" t="s">
        <v>72</v>
      </c>
      <c r="B8">
        <v>25</v>
      </c>
      <c r="C8">
        <v>83</v>
      </c>
      <c r="D8">
        <v>70</v>
      </c>
    </row>
    <row r="9" spans="1:4">
      <c r="A9" t="s">
        <v>73</v>
      </c>
      <c r="B9">
        <v>49</v>
      </c>
      <c r="C9">
        <v>96</v>
      </c>
      <c r="D9">
        <v>147</v>
      </c>
    </row>
    <row r="10" spans="1:4">
      <c r="A10" t="s">
        <v>74</v>
      </c>
      <c r="B10">
        <v>49</v>
      </c>
      <c r="C10">
        <v>96</v>
      </c>
      <c r="D10">
        <v>147</v>
      </c>
    </row>
    <row r="11" spans="1:4">
      <c r="A11" t="s">
        <v>75</v>
      </c>
      <c r="B11">
        <v>91</v>
      </c>
      <c r="C11">
        <v>192</v>
      </c>
      <c r="D11">
        <v>124</v>
      </c>
    </row>
    <row r="12" spans="1:4">
      <c r="A12" t="s">
        <v>76</v>
      </c>
      <c r="B12">
        <v>91</v>
      </c>
      <c r="C12">
        <v>192</v>
      </c>
      <c r="D12">
        <v>124</v>
      </c>
    </row>
    <row r="13" spans="1:4">
      <c r="A13" t="s">
        <v>77</v>
      </c>
      <c r="B13">
        <v>34</v>
      </c>
      <c r="C13">
        <v>92</v>
      </c>
      <c r="D13">
        <v>87</v>
      </c>
    </row>
    <row r="14" spans="1:4">
      <c r="A14" t="s">
        <v>78</v>
      </c>
      <c r="B14">
        <v>34</v>
      </c>
      <c r="C14">
        <v>92</v>
      </c>
      <c r="D14">
        <v>87</v>
      </c>
    </row>
    <row r="15" spans="1:4">
      <c r="A15" t="s">
        <v>79</v>
      </c>
      <c r="B15">
        <v>40</v>
      </c>
      <c r="C15">
        <v>192</v>
      </c>
      <c r="D15">
        <v>82</v>
      </c>
    </row>
    <row r="16" spans="1:4">
      <c r="A16" t="s">
        <v>80</v>
      </c>
      <c r="B16">
        <v>275</v>
      </c>
      <c r="C16">
        <v>165</v>
      </c>
      <c r="D16">
        <v>263</v>
      </c>
    </row>
    <row r="17" spans="1:4">
      <c r="A17" t="s">
        <v>81</v>
      </c>
      <c r="B17">
        <v>218</v>
      </c>
      <c r="C17">
        <v>134</v>
      </c>
      <c r="D17">
        <v>156</v>
      </c>
    </row>
    <row r="18" spans="1:4">
      <c r="A18" t="s">
        <v>82</v>
      </c>
      <c r="B18">
        <v>143</v>
      </c>
      <c r="C18">
        <v>49</v>
      </c>
      <c r="D18">
        <v>71</v>
      </c>
    </row>
    <row r="19" spans="1:4">
      <c r="A19" t="s">
        <v>83</v>
      </c>
      <c r="B19">
        <v>86</v>
      </c>
      <c r="C19">
        <v>73</v>
      </c>
      <c r="D19">
        <v>83</v>
      </c>
    </row>
    <row r="20" spans="1:4">
      <c r="A20" t="s">
        <v>84</v>
      </c>
      <c r="B20">
        <v>220</v>
      </c>
      <c r="C20">
        <v>90</v>
      </c>
      <c r="D20">
        <v>60</v>
      </c>
    </row>
    <row r="21" spans="1:4">
      <c r="A21" t="s">
        <v>85</v>
      </c>
      <c r="B21">
        <v>160</v>
      </c>
      <c r="C21">
        <v>250</v>
      </c>
      <c r="D21">
        <v>160</v>
      </c>
    </row>
    <row r="22" spans="1:4">
      <c r="A22" t="s">
        <v>86</v>
      </c>
      <c r="B22">
        <v>50</v>
      </c>
      <c r="C22">
        <v>75</v>
      </c>
      <c r="D22">
        <v>75</v>
      </c>
    </row>
    <row r="23" spans="1:4">
      <c r="A23" t="s">
        <v>87</v>
      </c>
      <c r="B23">
        <v>155</v>
      </c>
      <c r="C23">
        <v>177</v>
      </c>
      <c r="D23">
        <v>119</v>
      </c>
    </row>
    <row r="24" spans="1:4">
      <c r="A24" t="s">
        <v>88</v>
      </c>
      <c r="B24">
        <v>219</v>
      </c>
      <c r="C24">
        <v>146</v>
      </c>
      <c r="D24">
        <v>172</v>
      </c>
    </row>
  </sheetData>
  <phoneticPr fontId="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9458-8CD1-4EA0-8586-87896ECD49C6}">
  <dimension ref="A1:D3"/>
  <sheetViews>
    <sheetView workbookViewId="0">
      <selection activeCell="B4" sqref="B4"/>
    </sheetView>
  </sheetViews>
  <sheetFormatPr defaultRowHeight="18"/>
  <sheetData>
    <row r="1" spans="1:4">
      <c r="B1" t="s">
        <v>63</v>
      </c>
      <c r="C1" t="s">
        <v>64</v>
      </c>
      <c r="D1" t="s">
        <v>65</v>
      </c>
    </row>
    <row r="2" spans="1:4">
      <c r="A2" t="s">
        <v>89</v>
      </c>
      <c r="B2" s="13">
        <v>438760</v>
      </c>
      <c r="C2" s="13">
        <v>131710</v>
      </c>
      <c r="D2">
        <v>0</v>
      </c>
    </row>
    <row r="3" spans="1:4">
      <c r="A3" t="s">
        <v>90</v>
      </c>
      <c r="B3" s="13">
        <v>212721</v>
      </c>
      <c r="C3" s="13">
        <v>174917</v>
      </c>
      <c r="D3" s="13">
        <v>226695</v>
      </c>
    </row>
  </sheetData>
  <phoneticPr fontId="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33D3-75FA-4EBA-9947-C5EA223C9E85}">
  <dimension ref="A1:J25"/>
  <sheetViews>
    <sheetView workbookViewId="0">
      <selection activeCell="A18" sqref="A18"/>
    </sheetView>
  </sheetViews>
  <sheetFormatPr defaultRowHeight="18"/>
  <cols>
    <col min="1" max="16384" width="8.6640625" style="6"/>
  </cols>
  <sheetData>
    <row r="1" spans="1:10">
      <c r="B1" s="6" t="s">
        <v>63</v>
      </c>
      <c r="C1" s="6" t="s">
        <v>63</v>
      </c>
      <c r="D1" s="6" t="s">
        <v>63</v>
      </c>
      <c r="E1" s="6" t="s">
        <v>64</v>
      </c>
      <c r="F1" s="6" t="s">
        <v>64</v>
      </c>
      <c r="G1" s="6" t="s">
        <v>64</v>
      </c>
      <c r="H1" s="6" t="s">
        <v>65</v>
      </c>
      <c r="I1" s="6" t="s">
        <v>65</v>
      </c>
      <c r="J1" s="6" t="s">
        <v>65</v>
      </c>
    </row>
    <row r="2" spans="1:10">
      <c r="B2" s="6" t="s">
        <v>91</v>
      </c>
      <c r="C2" s="6" t="s">
        <v>92</v>
      </c>
      <c r="D2" s="6" t="s">
        <v>93</v>
      </c>
      <c r="E2" s="6" t="s">
        <v>91</v>
      </c>
      <c r="F2" s="6" t="s">
        <v>92</v>
      </c>
      <c r="G2" s="6" t="s">
        <v>93</v>
      </c>
      <c r="H2" s="6" t="s">
        <v>91</v>
      </c>
      <c r="I2" s="6" t="s">
        <v>92</v>
      </c>
      <c r="J2" s="6" t="s">
        <v>93</v>
      </c>
    </row>
    <row r="3" spans="1:10">
      <c r="A3" s="14" t="s">
        <v>66</v>
      </c>
      <c r="B3" s="6">
        <v>1.973495875506074E-2</v>
      </c>
      <c r="C3" s="6">
        <v>3.6652131346153838</v>
      </c>
      <c r="D3" s="6">
        <v>76</v>
      </c>
      <c r="E3" s="6">
        <v>1.4347416666666587E-3</v>
      </c>
      <c r="F3" s="6">
        <v>5.0359432500000008</v>
      </c>
      <c r="G3" s="6">
        <v>90</v>
      </c>
      <c r="H3" s="6">
        <v>2.586673677884612E-3</v>
      </c>
      <c r="I3" s="6">
        <v>4.9167493269230773</v>
      </c>
      <c r="J3" s="6">
        <v>96</v>
      </c>
    </row>
    <row r="4" spans="1:10">
      <c r="A4" s="14" t="s">
        <v>67</v>
      </c>
      <c r="B4" s="6">
        <v>5.2237674567771654E-3</v>
      </c>
      <c r="C4" s="6">
        <v>3.831951951951952</v>
      </c>
      <c r="D4" s="6">
        <v>103</v>
      </c>
      <c r="E4" s="6">
        <v>4.6944505481090826E-3</v>
      </c>
      <c r="F4" s="6">
        <v>3.792582582582583</v>
      </c>
      <c r="G4" s="6">
        <v>123</v>
      </c>
      <c r="H4" s="6">
        <v>1.5356846207910065E-3</v>
      </c>
      <c r="I4" s="6">
        <v>4.2256456456456455</v>
      </c>
      <c r="J4" s="6">
        <v>94</v>
      </c>
    </row>
    <row r="5" spans="1:10">
      <c r="A5" s="14" t="s">
        <v>68</v>
      </c>
      <c r="B5" s="6">
        <v>5.2237674567771654E-3</v>
      </c>
      <c r="C5" s="6">
        <v>3.831951951951952</v>
      </c>
      <c r="D5" s="6">
        <v>103</v>
      </c>
      <c r="E5" s="6">
        <v>4.6944505481090826E-3</v>
      </c>
      <c r="F5" s="6">
        <v>3.792582582582583</v>
      </c>
      <c r="G5" s="6">
        <v>123</v>
      </c>
      <c r="H5" s="6">
        <v>1.5356846207910065E-3</v>
      </c>
      <c r="I5" s="6">
        <v>4.2256456456456455</v>
      </c>
      <c r="J5" s="6">
        <v>94</v>
      </c>
    </row>
    <row r="6" spans="1:10">
      <c r="A6" s="14" t="s">
        <v>69</v>
      </c>
      <c r="B6" s="6">
        <v>2.2068292682926829E-2</v>
      </c>
      <c r="C6" s="6">
        <v>1.9603999999999999</v>
      </c>
      <c r="D6" s="6">
        <v>82</v>
      </c>
      <c r="E6" s="6">
        <v>1.2947474747474748E-2</v>
      </c>
      <c r="F6" s="6">
        <v>2.4882</v>
      </c>
      <c r="G6" s="6">
        <v>99</v>
      </c>
      <c r="H6" s="6">
        <v>1.0662626262626264E-2</v>
      </c>
      <c r="I6" s="6">
        <v>2.7143999999999999</v>
      </c>
      <c r="J6" s="6">
        <v>99</v>
      </c>
    </row>
    <row r="7" spans="1:10">
      <c r="A7" s="14" t="s">
        <v>70</v>
      </c>
      <c r="B7" s="6">
        <v>2.2068292682926829E-2</v>
      </c>
      <c r="C7" s="6">
        <v>1.9603999999999999</v>
      </c>
      <c r="D7" s="6">
        <v>82</v>
      </c>
      <c r="E7" s="6">
        <v>1.2947474747474748E-2</v>
      </c>
      <c r="F7" s="6">
        <v>2.4882</v>
      </c>
      <c r="G7" s="6">
        <v>99</v>
      </c>
      <c r="H7" s="6">
        <v>1.0662626262626264E-2</v>
      </c>
      <c r="I7" s="6">
        <v>2.7143999999999999</v>
      </c>
      <c r="J7" s="6">
        <v>99</v>
      </c>
    </row>
    <row r="8" spans="1:10">
      <c r="A8" s="14" t="s">
        <v>71</v>
      </c>
      <c r="B8" s="6">
        <v>1.5804176589118889E-2</v>
      </c>
      <c r="C8" s="6">
        <v>1.2247572815533976</v>
      </c>
      <c r="D8" s="6">
        <v>106</v>
      </c>
      <c r="E8" s="6">
        <v>5.0401534220304509E-3</v>
      </c>
      <c r="F8" s="6">
        <v>2.4917475728155334</v>
      </c>
      <c r="G8" s="6">
        <v>81</v>
      </c>
      <c r="H8" s="6">
        <v>5.9651143656409291E-4</v>
      </c>
      <c r="I8" s="6">
        <v>2.8296116504854369</v>
      </c>
      <c r="J8" s="6">
        <v>118</v>
      </c>
    </row>
    <row r="9" spans="1:10">
      <c r="A9" s="14" t="s">
        <v>72</v>
      </c>
      <c r="B9" s="6">
        <v>1.3033936923076923E-2</v>
      </c>
      <c r="C9" s="6">
        <v>0.28658957692307696</v>
      </c>
      <c r="D9" s="6">
        <v>25</v>
      </c>
      <c r="E9" s="6">
        <v>2.979888322520852E-3</v>
      </c>
      <c r="F9" s="6">
        <v>0.3651072692307693</v>
      </c>
      <c r="G9" s="6">
        <v>83</v>
      </c>
      <c r="H9" s="6">
        <v>1.8647951923076913E-3</v>
      </c>
      <c r="I9" s="6">
        <v>0.48190233653846165</v>
      </c>
      <c r="J9" s="6">
        <v>70</v>
      </c>
    </row>
    <row r="10" spans="1:10">
      <c r="A10" s="14" t="s">
        <v>73</v>
      </c>
      <c r="B10" s="6">
        <v>7.9033860735305286E-2</v>
      </c>
      <c r="C10" s="6">
        <v>18.127340823970041</v>
      </c>
      <c r="D10" s="6">
        <v>49</v>
      </c>
      <c r="E10" s="6">
        <v>6.8664169787765088E-3</v>
      </c>
      <c r="F10" s="6">
        <v>21.340823970037455</v>
      </c>
      <c r="G10" s="6">
        <v>96</v>
      </c>
      <c r="H10" s="6">
        <v>1.681571505006498E-3</v>
      </c>
      <c r="I10" s="6">
        <v>21.752808988764045</v>
      </c>
      <c r="J10" s="6">
        <v>147</v>
      </c>
    </row>
    <row r="11" spans="1:10">
      <c r="A11" s="14" t="s">
        <v>74</v>
      </c>
      <c r="B11" s="6">
        <v>7.9033860735305286E-2</v>
      </c>
      <c r="C11" s="6">
        <v>18.127340823970041</v>
      </c>
      <c r="D11" s="6">
        <v>49</v>
      </c>
      <c r="E11" s="6">
        <v>6.8664169787765088E-3</v>
      </c>
      <c r="F11" s="6">
        <v>21.340823970037455</v>
      </c>
      <c r="G11" s="6">
        <v>96</v>
      </c>
      <c r="H11" s="6">
        <v>1.681571505006498E-3</v>
      </c>
      <c r="I11" s="6">
        <v>21.752808988764045</v>
      </c>
      <c r="J11" s="6">
        <v>147</v>
      </c>
    </row>
    <row r="12" spans="1:10">
      <c r="A12" s="14" t="s">
        <v>75</v>
      </c>
      <c r="B12" s="6">
        <v>0.15397250818017111</v>
      </c>
      <c r="C12" s="6">
        <v>17.988501755604428</v>
      </c>
      <c r="D12" s="6">
        <v>91</v>
      </c>
      <c r="E12" s="6">
        <v>8.4512004439079316E-2</v>
      </c>
      <c r="F12" s="6">
        <v>15.773695147696769</v>
      </c>
      <c r="G12" s="6">
        <v>192</v>
      </c>
      <c r="H12" s="6">
        <v>9.7685112826500928E-2</v>
      </c>
      <c r="I12" s="6">
        <v>19.887046009513885</v>
      </c>
      <c r="J12" s="6">
        <v>124</v>
      </c>
    </row>
    <row r="13" spans="1:10">
      <c r="A13" s="14" t="s">
        <v>76</v>
      </c>
      <c r="B13" s="6">
        <v>0.15397250818017111</v>
      </c>
      <c r="C13" s="6">
        <v>17.988501755604428</v>
      </c>
      <c r="D13" s="6">
        <v>91</v>
      </c>
      <c r="E13" s="6">
        <v>8.4512004439079316E-2</v>
      </c>
      <c r="F13" s="6">
        <v>15.773695147696769</v>
      </c>
      <c r="G13" s="6">
        <v>192</v>
      </c>
      <c r="H13" s="6">
        <v>9.7685112826500928E-2</v>
      </c>
      <c r="I13" s="6">
        <v>19.887046009513885</v>
      </c>
      <c r="J13" s="6">
        <v>124</v>
      </c>
    </row>
    <row r="14" spans="1:10">
      <c r="A14" s="14" t="s">
        <v>77</v>
      </c>
      <c r="B14" s="6">
        <v>1.8575851393188854E-2</v>
      </c>
      <c r="C14" s="6">
        <v>0.96842105263157907</v>
      </c>
      <c r="D14" s="6">
        <v>34</v>
      </c>
      <c r="E14" s="6">
        <v>1.3272311212814648E-2</v>
      </c>
      <c r="F14" s="6">
        <v>0.37894736842105259</v>
      </c>
      <c r="G14" s="6">
        <v>92</v>
      </c>
      <c r="H14" s="6">
        <v>9.1954022988505746E-3</v>
      </c>
      <c r="I14" s="6">
        <v>0.8</v>
      </c>
      <c r="J14" s="6">
        <v>87</v>
      </c>
    </row>
    <row r="15" spans="1:10">
      <c r="A15" s="14" t="s">
        <v>78</v>
      </c>
      <c r="B15" s="6">
        <v>1.8575851393188854E-2</v>
      </c>
      <c r="C15" s="6">
        <v>0.96842105263157907</v>
      </c>
      <c r="D15" s="6">
        <v>34</v>
      </c>
      <c r="E15" s="6">
        <v>1.3272311212814648E-2</v>
      </c>
      <c r="F15" s="6">
        <v>0.37894736842105259</v>
      </c>
      <c r="G15" s="6">
        <v>92</v>
      </c>
      <c r="H15" s="6">
        <v>9.1954022988505746E-3</v>
      </c>
      <c r="I15" s="6">
        <v>0.8</v>
      </c>
      <c r="J15" s="6">
        <v>87</v>
      </c>
    </row>
    <row r="16" spans="1:10">
      <c r="A16" s="14" t="s">
        <v>79</v>
      </c>
      <c r="B16" s="6">
        <v>4.3438049999999949E-3</v>
      </c>
      <c r="C16" s="6">
        <v>1.7568278000000002</v>
      </c>
      <c r="D16" s="6">
        <v>40</v>
      </c>
      <c r="E16" s="6">
        <v>1.8099187500000002E-3</v>
      </c>
      <c r="F16" s="6">
        <v>1.5830755999999999</v>
      </c>
      <c r="G16" s="6">
        <v>192</v>
      </c>
      <c r="H16" s="6">
        <v>3.0606756097560999E-3</v>
      </c>
      <c r="I16" s="6">
        <v>1.6796045999999998</v>
      </c>
      <c r="J16" s="6">
        <v>82</v>
      </c>
    </row>
    <row r="17" spans="1:10">
      <c r="A17" s="14" t="s">
        <v>80</v>
      </c>
      <c r="B17" s="6">
        <v>9.8742253341764966E-2</v>
      </c>
      <c r="C17" s="6">
        <v>4.725780331014632</v>
      </c>
      <c r="D17" s="6">
        <v>275</v>
      </c>
      <c r="E17" s="6">
        <v>7.0212387971826662E-2</v>
      </c>
      <c r="F17" s="6">
        <v>20.294855984648599</v>
      </c>
      <c r="G17" s="6">
        <v>165</v>
      </c>
      <c r="H17" s="6">
        <v>-7.2689103987697175E-4</v>
      </c>
      <c r="I17" s="6">
        <v>32.071072343487643</v>
      </c>
      <c r="J17" s="6">
        <v>263</v>
      </c>
    </row>
    <row r="18" spans="1:10">
      <c r="A18" s="14" t="s">
        <v>81</v>
      </c>
      <c r="B18" s="6">
        <v>8.6238532110091748E-2</v>
      </c>
      <c r="C18" s="6">
        <v>0</v>
      </c>
      <c r="D18" s="6">
        <v>218</v>
      </c>
      <c r="E18" s="6">
        <v>6.2674695644647241E-2</v>
      </c>
      <c r="F18" s="6">
        <v>10.401590783617271</v>
      </c>
      <c r="G18" s="6">
        <v>134</v>
      </c>
      <c r="H18" s="6">
        <v>7.7468784454356981E-2</v>
      </c>
      <c r="I18" s="6">
        <v>6.7148696251203104</v>
      </c>
      <c r="J18" s="6">
        <v>156</v>
      </c>
    </row>
    <row r="19" spans="1:10">
      <c r="A19" s="14" t="s">
        <v>82</v>
      </c>
      <c r="B19" s="6">
        <v>2.5343101147420232E-2</v>
      </c>
      <c r="C19" s="6">
        <v>17.375936535918907</v>
      </c>
      <c r="D19" s="6">
        <v>143</v>
      </c>
      <c r="E19" s="6">
        <v>5.4235885627940107E-2</v>
      </c>
      <c r="F19" s="6">
        <v>18.342441604230935</v>
      </c>
      <c r="G19" s="6">
        <v>49</v>
      </c>
      <c r="H19" s="6">
        <v>2.2923792202310358E-2</v>
      </c>
      <c r="I19" s="6">
        <v>19.372410753635965</v>
      </c>
      <c r="J19" s="6">
        <v>71</v>
      </c>
    </row>
    <row r="20" spans="1:10">
      <c r="A20" s="14" t="s">
        <v>83</v>
      </c>
      <c r="B20" s="6">
        <v>3.9360139656650077E-2</v>
      </c>
      <c r="C20" s="6">
        <v>6.1007179895280936</v>
      </c>
      <c r="D20" s="6">
        <v>86</v>
      </c>
      <c r="E20" s="6">
        <v>3.7594517881231949E-2</v>
      </c>
      <c r="F20" s="6">
        <v>6.7412901946700678</v>
      </c>
      <c r="G20" s="6">
        <v>73</v>
      </c>
      <c r="H20" s="6">
        <v>3.2942310580847942E-2</v>
      </c>
      <c r="I20" s="6">
        <v>6.751478221789621</v>
      </c>
      <c r="J20" s="6">
        <v>83</v>
      </c>
    </row>
    <row r="21" spans="1:10">
      <c r="A21" s="14" t="s">
        <v>84</v>
      </c>
      <c r="B21" s="6">
        <v>0.14601502033122066</v>
      </c>
      <c r="C21" s="6">
        <v>13.769779286926994</v>
      </c>
      <c r="D21" s="6">
        <v>281</v>
      </c>
      <c r="E21" s="6">
        <v>1.3657108144733004E-2</v>
      </c>
      <c r="F21" s="6">
        <v>53.3113752122241</v>
      </c>
      <c r="G21" s="6">
        <v>109</v>
      </c>
      <c r="H21" s="6">
        <v>1.2405206564799147E-2</v>
      </c>
      <c r="I21" s="6">
        <v>53.3113752122241</v>
      </c>
      <c r="J21" s="6">
        <v>120</v>
      </c>
    </row>
    <row r="22" spans="1:10">
      <c r="A22" s="14" t="s">
        <v>85</v>
      </c>
      <c r="B22" s="6">
        <v>6.5796344647519558E-2</v>
      </c>
      <c r="C22" s="6">
        <v>53.472584856396871</v>
      </c>
      <c r="D22" s="6">
        <v>160</v>
      </c>
      <c r="E22" s="6">
        <v>4.1441253263707553E-2</v>
      </c>
      <c r="F22" s="6">
        <v>53.639686684073112</v>
      </c>
      <c r="G22" s="6">
        <v>250</v>
      </c>
      <c r="H22" s="6">
        <v>3.0809399477806743E-2</v>
      </c>
      <c r="I22" s="6">
        <v>59.070496083550921</v>
      </c>
      <c r="J22" s="6">
        <v>160</v>
      </c>
    </row>
    <row r="23" spans="1:10">
      <c r="A23" s="14" t="s">
        <v>86</v>
      </c>
      <c r="B23" s="6">
        <v>7.5665744327614833E-3</v>
      </c>
      <c r="C23" s="6">
        <v>1.7316712783619257</v>
      </c>
      <c r="D23" s="6">
        <v>50</v>
      </c>
      <c r="E23" s="6">
        <v>3.5419664268585144E-3</v>
      </c>
      <c r="F23" s="6">
        <v>1.8443525179856113</v>
      </c>
      <c r="G23" s="6">
        <v>75</v>
      </c>
      <c r="H23" s="6">
        <v>0</v>
      </c>
      <c r="I23" s="6">
        <v>2.11</v>
      </c>
      <c r="J23" s="6">
        <v>75</v>
      </c>
    </row>
    <row r="24" spans="1:10">
      <c r="A24" s="14" t="s">
        <v>87</v>
      </c>
      <c r="B24" s="6">
        <v>1.1003542519708481E-2</v>
      </c>
      <c r="C24" s="6">
        <v>0.87621001810500909</v>
      </c>
      <c r="D24" s="6">
        <v>223</v>
      </c>
      <c r="E24" s="6">
        <v>1.7890840042981003E-3</v>
      </c>
      <c r="F24" s="6">
        <v>2.8898853349426674</v>
      </c>
      <c r="G24" s="6">
        <v>246</v>
      </c>
      <c r="H24" s="6">
        <v>1.9010259505129382E-4</v>
      </c>
      <c r="I24" s="6">
        <v>3.2877972238986128</v>
      </c>
      <c r="J24" s="6">
        <v>222</v>
      </c>
    </row>
    <row r="25" spans="1:10">
      <c r="A25" s="14" t="s">
        <v>88</v>
      </c>
      <c r="B25" s="6">
        <v>5.5905260290236929E-4</v>
      </c>
      <c r="C25" s="6">
        <v>0.87028747996438116</v>
      </c>
      <c r="D25" s="6">
        <v>219</v>
      </c>
      <c r="E25" s="6">
        <v>4.8135034582027033E-4</v>
      </c>
      <c r="F25" s="6">
        <v>0.92244284951024058</v>
      </c>
      <c r="G25" s="6">
        <v>146</v>
      </c>
      <c r="H25" s="6">
        <v>2.5697363788853284E-5</v>
      </c>
      <c r="I25" s="6">
        <v>0.98830005342831728</v>
      </c>
      <c r="J25" s="6">
        <v>172</v>
      </c>
    </row>
  </sheetData>
  <phoneticPr fontId="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ADD6-F4E8-490A-B06C-4FC4B5C6620E}">
  <dimension ref="A1:B23"/>
  <sheetViews>
    <sheetView workbookViewId="0">
      <selection activeCell="A16" sqref="A16"/>
    </sheetView>
  </sheetViews>
  <sheetFormatPr defaultRowHeight="18"/>
  <cols>
    <col min="1" max="1" width="12.33203125" customWidth="1"/>
  </cols>
  <sheetData>
    <row r="1" spans="1:2">
      <c r="A1" t="s">
        <v>66</v>
      </c>
      <c r="B1">
        <v>22</v>
      </c>
    </row>
    <row r="2" spans="1:2">
      <c r="A2" t="s">
        <v>67</v>
      </c>
      <c r="B2">
        <v>3.3</v>
      </c>
    </row>
    <row r="3" spans="1:2">
      <c r="A3" t="s">
        <v>68</v>
      </c>
      <c r="B3">
        <v>3.3</v>
      </c>
    </row>
    <row r="4" spans="1:2" ht="17.5" customHeight="1">
      <c r="A4" t="s">
        <v>69</v>
      </c>
      <c r="B4">
        <v>3.3</v>
      </c>
    </row>
    <row r="5" spans="1:2">
      <c r="A5" t="s">
        <v>70</v>
      </c>
      <c r="B5">
        <v>3.3</v>
      </c>
    </row>
    <row r="6" spans="1:2">
      <c r="A6" t="s">
        <v>71</v>
      </c>
      <c r="B6">
        <v>3.3</v>
      </c>
    </row>
    <row r="7" spans="1:2">
      <c r="A7" t="s">
        <v>94</v>
      </c>
      <c r="B7">
        <v>3.3</v>
      </c>
    </row>
    <row r="8" spans="1:2">
      <c r="A8" t="s">
        <v>95</v>
      </c>
      <c r="B8">
        <v>86</v>
      </c>
    </row>
    <row r="9" spans="1:2">
      <c r="A9" t="s">
        <v>74</v>
      </c>
      <c r="B9">
        <v>86</v>
      </c>
    </row>
    <row r="10" spans="1:2">
      <c r="A10" t="s">
        <v>75</v>
      </c>
      <c r="B10">
        <v>11</v>
      </c>
    </row>
    <row r="11" spans="1:2">
      <c r="A11" t="s">
        <v>76</v>
      </c>
      <c r="B11">
        <v>11</v>
      </c>
    </row>
    <row r="12" spans="1:2">
      <c r="A12" t="s">
        <v>77</v>
      </c>
      <c r="B12">
        <v>5.6</v>
      </c>
    </row>
    <row r="13" spans="1:2">
      <c r="A13" t="s">
        <v>78</v>
      </c>
      <c r="B13">
        <v>5.6</v>
      </c>
    </row>
    <row r="14" spans="1:2">
      <c r="A14" t="s">
        <v>79</v>
      </c>
      <c r="B14">
        <v>5.6</v>
      </c>
    </row>
    <row r="15" spans="1:2">
      <c r="A15" t="s">
        <v>80</v>
      </c>
      <c r="B15">
        <v>163</v>
      </c>
    </row>
    <row r="16" spans="1:2">
      <c r="A16" t="s">
        <v>81</v>
      </c>
      <c r="B16">
        <v>267</v>
      </c>
    </row>
    <row r="17" spans="1:2">
      <c r="A17" t="s">
        <v>82</v>
      </c>
      <c r="B17">
        <v>267</v>
      </c>
    </row>
    <row r="18" spans="1:2">
      <c r="A18" t="s">
        <v>83</v>
      </c>
      <c r="B18">
        <v>267</v>
      </c>
    </row>
    <row r="19" spans="1:2">
      <c r="A19" t="s">
        <v>96</v>
      </c>
      <c r="B19">
        <v>33</v>
      </c>
    </row>
    <row r="20" spans="1:2">
      <c r="A20" t="s">
        <v>85</v>
      </c>
      <c r="B20">
        <v>11</v>
      </c>
    </row>
    <row r="21" spans="1:2">
      <c r="A21" t="s">
        <v>97</v>
      </c>
      <c r="B21">
        <v>3.3</v>
      </c>
    </row>
    <row r="22" spans="1:2">
      <c r="A22" t="s">
        <v>98</v>
      </c>
      <c r="B22">
        <v>3.3</v>
      </c>
    </row>
    <row r="23" spans="1:2">
      <c r="A23" t="s">
        <v>99</v>
      </c>
      <c r="B23">
        <v>3.3</v>
      </c>
    </row>
  </sheetData>
  <phoneticPr fontId="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2DA6-CDE9-4B9A-889B-6D78B6DE0057}">
  <dimension ref="A1:B7"/>
  <sheetViews>
    <sheetView workbookViewId="0">
      <selection activeCell="C12" sqref="C12"/>
    </sheetView>
  </sheetViews>
  <sheetFormatPr defaultRowHeight="18"/>
  <cols>
    <col min="1" max="1" width="12.33203125" customWidth="1"/>
  </cols>
  <sheetData>
    <row r="1" spans="1:2">
      <c r="A1" t="s">
        <v>100</v>
      </c>
      <c r="B1">
        <v>44</v>
      </c>
    </row>
    <row r="2" spans="1:2">
      <c r="A2" t="s">
        <v>101</v>
      </c>
      <c r="B2">
        <v>44</v>
      </c>
    </row>
    <row r="3" spans="1:2">
      <c r="A3" t="s">
        <v>102</v>
      </c>
      <c r="B3">
        <v>44</v>
      </c>
    </row>
    <row r="4" spans="1:2">
      <c r="A4" t="s">
        <v>103</v>
      </c>
      <c r="B4">
        <v>3.1</v>
      </c>
    </row>
    <row r="5" spans="1:2">
      <c r="A5" t="s">
        <v>104</v>
      </c>
      <c r="B5">
        <v>0.02</v>
      </c>
    </row>
    <row r="6" spans="1:2">
      <c r="A6" t="s">
        <v>105</v>
      </c>
      <c r="B6">
        <v>0.2</v>
      </c>
    </row>
    <row r="7" spans="1:2">
      <c r="A7" t="s">
        <v>106</v>
      </c>
      <c r="B7">
        <v>123</v>
      </c>
    </row>
  </sheetData>
  <phoneticPr fontId="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B607-F6C3-41C3-BA04-D87F32F65BD0}">
  <dimension ref="A1:C14"/>
  <sheetViews>
    <sheetView workbookViewId="0">
      <selection activeCell="P28" sqref="P28"/>
    </sheetView>
  </sheetViews>
  <sheetFormatPr defaultRowHeight="18"/>
  <sheetData>
    <row r="1" spans="1:3">
      <c r="B1" s="39" t="s">
        <v>149</v>
      </c>
      <c r="C1" s="39" t="s">
        <v>150</v>
      </c>
    </row>
    <row r="2" spans="1:3">
      <c r="A2" s="40" t="s">
        <v>155</v>
      </c>
      <c r="B2" s="41">
        <v>0.40899999999999997</v>
      </c>
      <c r="C2" s="41">
        <v>0.38900000000000001</v>
      </c>
    </row>
    <row r="3" spans="1:3">
      <c r="A3" s="40" t="s">
        <v>156</v>
      </c>
      <c r="B3" s="41">
        <v>0.85099999999999998</v>
      </c>
      <c r="C3" s="41">
        <v>0.81200000000000006</v>
      </c>
    </row>
    <row r="4" spans="1:3">
      <c r="A4" s="40" t="s">
        <v>157</v>
      </c>
      <c r="B4" s="41">
        <v>1.3939999999999999</v>
      </c>
      <c r="C4" s="41">
        <v>1.33</v>
      </c>
    </row>
    <row r="5" spans="1:3">
      <c r="A5" s="40" t="s">
        <v>158</v>
      </c>
      <c r="B5" s="41">
        <v>1.016</v>
      </c>
      <c r="C5" s="41">
        <v>0.96699999999999997</v>
      </c>
    </row>
    <row r="6" spans="1:3">
      <c r="A6" s="40" t="s">
        <v>159</v>
      </c>
      <c r="B6" s="41">
        <v>1.0389999999999999</v>
      </c>
      <c r="C6" s="41">
        <v>0.98899999999999999</v>
      </c>
    </row>
    <row r="7" spans="1:3">
      <c r="A7" s="40" t="s">
        <v>160</v>
      </c>
      <c r="B7" s="41">
        <v>1.0680000000000001</v>
      </c>
      <c r="C7" s="41">
        <v>1.0169999999999999</v>
      </c>
    </row>
    <row r="8" spans="1:3">
      <c r="A8" s="40" t="s">
        <v>161</v>
      </c>
      <c r="B8" s="41">
        <v>1.6519999999999999</v>
      </c>
      <c r="C8" s="41">
        <v>1.571</v>
      </c>
    </row>
    <row r="9" spans="1:3">
      <c r="A9" s="40" t="s">
        <v>162</v>
      </c>
      <c r="B9" s="41">
        <v>1.66</v>
      </c>
      <c r="C9" s="41">
        <v>1.5760000000000001</v>
      </c>
    </row>
    <row r="10" spans="1:3">
      <c r="A10" s="40" t="s">
        <v>163</v>
      </c>
      <c r="B10" s="41">
        <v>7.681</v>
      </c>
      <c r="C10" s="41">
        <v>7.2709999999999999</v>
      </c>
    </row>
    <row r="11" spans="1:3">
      <c r="A11" s="40" t="s">
        <v>164</v>
      </c>
      <c r="B11" s="41">
        <v>15.788</v>
      </c>
      <c r="C11" s="41">
        <v>15.279</v>
      </c>
    </row>
    <row r="12" spans="1:3">
      <c r="A12" s="40" t="s">
        <v>165</v>
      </c>
      <c r="B12" s="41">
        <v>12.476000000000001</v>
      </c>
      <c r="C12" s="41">
        <v>12.48</v>
      </c>
    </row>
    <row r="13" spans="1:3">
      <c r="A13" s="40" t="s">
        <v>166</v>
      </c>
      <c r="B13" s="41">
        <v>8.07</v>
      </c>
      <c r="C13" s="41">
        <v>8.8010000000000002</v>
      </c>
    </row>
    <row r="14" spans="1:3">
      <c r="A14" s="40" t="s">
        <v>167</v>
      </c>
      <c r="B14" s="41">
        <v>7.6539999999999999</v>
      </c>
      <c r="C14" s="41">
        <v>11.71</v>
      </c>
    </row>
  </sheetData>
  <phoneticPr fontId="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783A-32E1-4046-9748-0E6F391229E3}">
  <sheetPr>
    <pageSetUpPr fitToPage="1"/>
  </sheetPr>
  <dimension ref="A1:DR16"/>
  <sheetViews>
    <sheetView topLeftCell="BU1" workbookViewId="0">
      <selection activeCell="CF15" sqref="CF15"/>
    </sheetView>
  </sheetViews>
  <sheetFormatPr defaultRowHeight="18"/>
  <cols>
    <col min="1" max="1" width="10.6640625" style="39" customWidth="1"/>
    <col min="2" max="4" width="8.6640625" style="39" customWidth="1"/>
    <col min="5" max="6" width="8.6640625" style="42" customWidth="1"/>
    <col min="7" max="32" width="8.6640625" style="39"/>
    <col min="33" max="41" width="8.6640625" style="39" customWidth="1"/>
    <col min="42" max="65" width="8.6640625" style="39"/>
    <col min="66" max="67" width="8.6640625" style="42" customWidth="1"/>
    <col min="68" max="16384" width="8.6640625" style="39"/>
  </cols>
  <sheetData>
    <row r="1" spans="1:122">
      <c r="A1" s="43"/>
      <c r="B1" s="43" t="s">
        <v>149</v>
      </c>
      <c r="C1" s="43" t="s">
        <v>149</v>
      </c>
      <c r="D1" s="43" t="s">
        <v>149</v>
      </c>
      <c r="E1" s="44" t="s">
        <v>149</v>
      </c>
      <c r="F1" s="44" t="s">
        <v>149</v>
      </c>
      <c r="G1" s="43" t="s">
        <v>149</v>
      </c>
      <c r="H1" s="43" t="s">
        <v>149</v>
      </c>
      <c r="I1" s="43" t="s">
        <v>149</v>
      </c>
      <c r="J1" s="43" t="s">
        <v>149</v>
      </c>
      <c r="K1" s="43" t="s">
        <v>149</v>
      </c>
      <c r="L1" s="43" t="s">
        <v>149</v>
      </c>
      <c r="M1" s="43" t="s">
        <v>149</v>
      </c>
      <c r="N1" s="43" t="s">
        <v>149</v>
      </c>
      <c r="O1" s="43" t="s">
        <v>149</v>
      </c>
      <c r="P1" s="43" t="s">
        <v>149</v>
      </c>
      <c r="Q1" s="43" t="s">
        <v>149</v>
      </c>
      <c r="R1" s="43" t="s">
        <v>149</v>
      </c>
      <c r="S1" s="43" t="s">
        <v>149</v>
      </c>
      <c r="T1" s="43" t="s">
        <v>149</v>
      </c>
      <c r="U1" s="43" t="s">
        <v>149</v>
      </c>
      <c r="V1" s="43" t="s">
        <v>149</v>
      </c>
      <c r="W1" s="43" t="s">
        <v>149</v>
      </c>
      <c r="X1" s="43" t="s">
        <v>149</v>
      </c>
      <c r="Y1" s="43" t="s">
        <v>149</v>
      </c>
      <c r="Z1" s="43" t="s">
        <v>149</v>
      </c>
      <c r="AA1" s="43" t="s">
        <v>149</v>
      </c>
      <c r="AB1" s="43" t="s">
        <v>149</v>
      </c>
      <c r="AC1" s="43" t="s">
        <v>149</v>
      </c>
      <c r="AD1" s="43" t="s">
        <v>149</v>
      </c>
      <c r="AE1" s="43" t="s">
        <v>149</v>
      </c>
      <c r="AF1" s="43" t="s">
        <v>149</v>
      </c>
      <c r="AG1" s="43" t="s">
        <v>149</v>
      </c>
      <c r="AH1" s="43" t="s">
        <v>149</v>
      </c>
      <c r="AI1" s="43" t="s">
        <v>149</v>
      </c>
      <c r="AJ1" s="43" t="s">
        <v>149</v>
      </c>
      <c r="AK1" s="43" t="s">
        <v>149</v>
      </c>
      <c r="AL1" s="43" t="s">
        <v>149</v>
      </c>
      <c r="AM1" s="43" t="s">
        <v>149</v>
      </c>
      <c r="AN1" s="43" t="s">
        <v>149</v>
      </c>
      <c r="AO1" s="43" t="s">
        <v>149</v>
      </c>
      <c r="AP1" s="43" t="s">
        <v>149</v>
      </c>
      <c r="AQ1" s="43" t="s">
        <v>149</v>
      </c>
      <c r="AR1" s="43" t="s">
        <v>149</v>
      </c>
      <c r="AS1" s="43" t="s">
        <v>149</v>
      </c>
      <c r="AT1" s="43" t="s">
        <v>149</v>
      </c>
      <c r="AU1" s="43" t="s">
        <v>149</v>
      </c>
      <c r="AV1" s="43" t="s">
        <v>149</v>
      </c>
      <c r="AW1" s="43" t="s">
        <v>149</v>
      </c>
      <c r="AX1" s="43" t="s">
        <v>149</v>
      </c>
      <c r="AY1" s="43" t="s">
        <v>149</v>
      </c>
      <c r="AZ1" s="43" t="s">
        <v>149</v>
      </c>
      <c r="BA1" s="43" t="s">
        <v>149</v>
      </c>
      <c r="BB1" s="43" t="s">
        <v>149</v>
      </c>
      <c r="BC1" s="43" t="s">
        <v>149</v>
      </c>
      <c r="BD1" s="43" t="s">
        <v>149</v>
      </c>
      <c r="BE1" s="43" t="s">
        <v>149</v>
      </c>
      <c r="BF1" s="43" t="s">
        <v>149</v>
      </c>
      <c r="BG1" s="43" t="s">
        <v>149</v>
      </c>
      <c r="BH1" s="43" t="s">
        <v>149</v>
      </c>
      <c r="BI1" s="43" t="s">
        <v>149</v>
      </c>
      <c r="BJ1" s="43" t="s">
        <v>149</v>
      </c>
      <c r="BK1" s="43" t="s">
        <v>150</v>
      </c>
      <c r="BL1" s="43" t="s">
        <v>150</v>
      </c>
      <c r="BM1" s="43" t="s">
        <v>150</v>
      </c>
      <c r="BN1" s="44" t="s">
        <v>150</v>
      </c>
      <c r="BO1" s="44" t="s">
        <v>150</v>
      </c>
      <c r="BP1" s="43" t="s">
        <v>150</v>
      </c>
      <c r="BQ1" s="43" t="s">
        <v>150</v>
      </c>
      <c r="BR1" s="43" t="s">
        <v>150</v>
      </c>
      <c r="BS1" s="43" t="s">
        <v>150</v>
      </c>
      <c r="BT1" s="43" t="s">
        <v>150</v>
      </c>
      <c r="BU1" s="43" t="s">
        <v>150</v>
      </c>
      <c r="BV1" s="43" t="s">
        <v>150</v>
      </c>
      <c r="BW1" s="43" t="s">
        <v>150</v>
      </c>
      <c r="BX1" s="43" t="s">
        <v>150</v>
      </c>
      <c r="BY1" s="43" t="s">
        <v>150</v>
      </c>
      <c r="BZ1" s="43" t="s">
        <v>150</v>
      </c>
      <c r="CA1" s="43" t="s">
        <v>150</v>
      </c>
      <c r="CB1" s="43" t="s">
        <v>150</v>
      </c>
      <c r="CC1" s="43" t="s">
        <v>150</v>
      </c>
      <c r="CD1" s="43" t="s">
        <v>150</v>
      </c>
      <c r="CE1" s="43" t="s">
        <v>150</v>
      </c>
      <c r="CF1" s="43" t="s">
        <v>150</v>
      </c>
      <c r="CG1" s="43" t="s">
        <v>150</v>
      </c>
      <c r="CH1" s="43" t="s">
        <v>150</v>
      </c>
      <c r="CI1" s="43" t="s">
        <v>150</v>
      </c>
      <c r="CJ1" s="43" t="s">
        <v>150</v>
      </c>
      <c r="CK1" s="43" t="s">
        <v>150</v>
      </c>
      <c r="CL1" s="43" t="s">
        <v>150</v>
      </c>
      <c r="CM1" s="43" t="s">
        <v>150</v>
      </c>
      <c r="CN1" s="43" t="s">
        <v>150</v>
      </c>
      <c r="CO1" s="43" t="s">
        <v>150</v>
      </c>
      <c r="CP1" s="43" t="s">
        <v>150</v>
      </c>
      <c r="CQ1" s="43" t="s">
        <v>150</v>
      </c>
      <c r="CR1" s="43" t="s">
        <v>150</v>
      </c>
      <c r="CS1" s="43" t="s">
        <v>150</v>
      </c>
      <c r="CT1" s="43" t="s">
        <v>150</v>
      </c>
      <c r="CU1" s="43" t="s">
        <v>150</v>
      </c>
      <c r="CV1" s="43" t="s">
        <v>150</v>
      </c>
      <c r="CW1" s="43" t="s">
        <v>150</v>
      </c>
      <c r="CX1" s="43" t="s">
        <v>150</v>
      </c>
      <c r="CY1" s="43" t="s">
        <v>150</v>
      </c>
      <c r="CZ1" s="43" t="s">
        <v>150</v>
      </c>
      <c r="DA1" s="43" t="s">
        <v>150</v>
      </c>
      <c r="DB1" s="43" t="s">
        <v>150</v>
      </c>
      <c r="DC1" s="43" t="s">
        <v>150</v>
      </c>
      <c r="DD1" s="43" t="s">
        <v>150</v>
      </c>
      <c r="DE1" s="43" t="s">
        <v>150</v>
      </c>
      <c r="DF1" s="43" t="s">
        <v>150</v>
      </c>
      <c r="DG1" s="43" t="s">
        <v>150</v>
      </c>
      <c r="DH1" s="43" t="s">
        <v>150</v>
      </c>
      <c r="DI1" s="43" t="s">
        <v>150</v>
      </c>
      <c r="DJ1" s="43" t="s">
        <v>150</v>
      </c>
      <c r="DK1" s="43" t="s">
        <v>150</v>
      </c>
      <c r="DL1" s="43" t="s">
        <v>150</v>
      </c>
      <c r="DM1" s="43" t="s">
        <v>150</v>
      </c>
      <c r="DN1" s="43" t="s">
        <v>150</v>
      </c>
      <c r="DO1" s="43" t="s">
        <v>150</v>
      </c>
      <c r="DP1" s="43" t="s">
        <v>150</v>
      </c>
      <c r="DQ1" s="43" t="s">
        <v>150</v>
      </c>
      <c r="DR1" s="43" t="s">
        <v>150</v>
      </c>
    </row>
    <row r="2" spans="1:122">
      <c r="A2" s="45"/>
      <c r="B2" s="46" t="s">
        <v>151</v>
      </c>
      <c r="C2" s="43" t="s">
        <v>152</v>
      </c>
      <c r="D2" s="43" t="s">
        <v>152</v>
      </c>
      <c r="E2" s="44" t="s">
        <v>153</v>
      </c>
      <c r="F2" s="44" t="s">
        <v>154</v>
      </c>
      <c r="G2" s="43" t="s">
        <v>234</v>
      </c>
      <c r="H2" s="43" t="s">
        <v>234</v>
      </c>
      <c r="I2" s="43" t="s">
        <v>234</v>
      </c>
      <c r="J2" s="43" t="s">
        <v>236</v>
      </c>
      <c r="K2" s="43" t="s">
        <v>236</v>
      </c>
      <c r="L2" s="43" t="s">
        <v>238</v>
      </c>
      <c r="M2" s="43" t="s">
        <v>238</v>
      </c>
      <c r="N2" s="43" t="s">
        <v>256</v>
      </c>
      <c r="O2" s="43" t="s">
        <v>241</v>
      </c>
      <c r="P2" s="43" t="s">
        <v>241</v>
      </c>
      <c r="Q2" s="43" t="s">
        <v>243</v>
      </c>
      <c r="R2" s="43" t="s">
        <v>243</v>
      </c>
      <c r="S2" s="43" t="s">
        <v>245</v>
      </c>
      <c r="T2" s="43" t="s">
        <v>245</v>
      </c>
      <c r="U2" s="43" t="s">
        <v>245</v>
      </c>
      <c r="V2" s="43" t="s">
        <v>247</v>
      </c>
      <c r="W2" s="43" t="s">
        <v>247</v>
      </c>
      <c r="X2" s="43" t="s">
        <v>247</v>
      </c>
      <c r="Y2" s="43" t="s">
        <v>257</v>
      </c>
      <c r="Z2" s="43" t="s">
        <v>249</v>
      </c>
      <c r="AA2" s="43" t="s">
        <v>249</v>
      </c>
      <c r="AB2" s="43" t="s">
        <v>249</v>
      </c>
      <c r="AC2" s="43" t="s">
        <v>251</v>
      </c>
      <c r="AD2" s="43" t="s">
        <v>258</v>
      </c>
      <c r="AE2" s="43" t="s">
        <v>253</v>
      </c>
      <c r="AF2" s="43" t="s">
        <v>253</v>
      </c>
      <c r="AG2" s="43" t="s">
        <v>209</v>
      </c>
      <c r="AH2" s="43" t="s">
        <v>259</v>
      </c>
      <c r="AI2" s="43" t="s">
        <v>212</v>
      </c>
      <c r="AJ2" s="43" t="s">
        <v>212</v>
      </c>
      <c r="AK2" s="43" t="s">
        <v>212</v>
      </c>
      <c r="AL2" s="43" t="s">
        <v>214</v>
      </c>
      <c r="AM2" s="43" t="s">
        <v>214</v>
      </c>
      <c r="AN2" s="43" t="s">
        <v>216</v>
      </c>
      <c r="AO2" s="43" t="s">
        <v>216</v>
      </c>
      <c r="AP2" s="43" t="s">
        <v>218</v>
      </c>
      <c r="AQ2" s="43" t="s">
        <v>218</v>
      </c>
      <c r="AR2" s="43" t="s">
        <v>220</v>
      </c>
      <c r="AS2" s="43" t="s">
        <v>220</v>
      </c>
      <c r="AT2" s="43" t="s">
        <v>220</v>
      </c>
      <c r="AU2" s="43" t="s">
        <v>222</v>
      </c>
      <c r="AV2" s="43" t="s">
        <v>222</v>
      </c>
      <c r="AW2" s="43" t="s">
        <v>222</v>
      </c>
      <c r="AX2" s="43" t="s">
        <v>224</v>
      </c>
      <c r="AY2" s="43" t="s">
        <v>224</v>
      </c>
      <c r="AZ2" s="43" t="s">
        <v>226</v>
      </c>
      <c r="BA2" s="43" t="s">
        <v>226</v>
      </c>
      <c r="BB2" s="43" t="s">
        <v>226</v>
      </c>
      <c r="BC2" s="43" t="s">
        <v>228</v>
      </c>
      <c r="BD2" s="43" t="s">
        <v>228</v>
      </c>
      <c r="BE2" s="43" t="s">
        <v>228</v>
      </c>
      <c r="BF2" s="43" t="s">
        <v>230</v>
      </c>
      <c r="BG2" s="43" t="s">
        <v>230</v>
      </c>
      <c r="BH2" s="43" t="s">
        <v>232</v>
      </c>
      <c r="BI2" s="43" t="s">
        <v>232</v>
      </c>
      <c r="BJ2" s="43" t="s">
        <v>232</v>
      </c>
      <c r="BK2" s="46" t="s">
        <v>151</v>
      </c>
      <c r="BL2" s="43" t="s">
        <v>152</v>
      </c>
      <c r="BM2" s="43" t="s">
        <v>152</v>
      </c>
      <c r="BN2" s="44" t="s">
        <v>153</v>
      </c>
      <c r="BO2" s="44" t="s">
        <v>154</v>
      </c>
      <c r="BP2" s="43" t="s">
        <v>234</v>
      </c>
      <c r="BQ2" s="43" t="s">
        <v>234</v>
      </c>
      <c r="BR2" s="43" t="s">
        <v>234</v>
      </c>
      <c r="BS2" s="43" t="s">
        <v>236</v>
      </c>
      <c r="BT2" s="43" t="s">
        <v>236</v>
      </c>
      <c r="BU2" s="43" t="s">
        <v>238</v>
      </c>
      <c r="BV2" s="43" t="s">
        <v>238</v>
      </c>
      <c r="BW2" s="43" t="s">
        <v>256</v>
      </c>
      <c r="BX2" s="43" t="s">
        <v>241</v>
      </c>
      <c r="BY2" s="43" t="s">
        <v>241</v>
      </c>
      <c r="BZ2" s="43" t="s">
        <v>243</v>
      </c>
      <c r="CA2" s="43" t="s">
        <v>243</v>
      </c>
      <c r="CB2" s="43" t="s">
        <v>245</v>
      </c>
      <c r="CC2" s="43" t="s">
        <v>245</v>
      </c>
      <c r="CD2" s="43" t="s">
        <v>245</v>
      </c>
      <c r="CE2" s="43" t="s">
        <v>247</v>
      </c>
      <c r="CF2" s="43" t="s">
        <v>247</v>
      </c>
      <c r="CG2" s="43" t="s">
        <v>247</v>
      </c>
      <c r="CH2" s="43" t="s">
        <v>257</v>
      </c>
      <c r="CI2" s="43" t="s">
        <v>249</v>
      </c>
      <c r="CJ2" s="43" t="s">
        <v>249</v>
      </c>
      <c r="CK2" s="43" t="s">
        <v>249</v>
      </c>
      <c r="CL2" s="43" t="s">
        <v>251</v>
      </c>
      <c r="CM2" s="43" t="s">
        <v>258</v>
      </c>
      <c r="CN2" s="43" t="s">
        <v>253</v>
      </c>
      <c r="CO2" s="43" t="s">
        <v>253</v>
      </c>
      <c r="CP2" s="43" t="s">
        <v>209</v>
      </c>
      <c r="CQ2" s="43" t="s">
        <v>212</v>
      </c>
      <c r="CR2" s="43" t="s">
        <v>212</v>
      </c>
      <c r="CS2" s="43" t="s">
        <v>212</v>
      </c>
      <c r="CT2" s="43" t="s">
        <v>214</v>
      </c>
      <c r="CU2" s="43" t="s">
        <v>214</v>
      </c>
      <c r="CV2" s="43" t="s">
        <v>216</v>
      </c>
      <c r="CW2" s="43" t="s">
        <v>216</v>
      </c>
      <c r="CX2" s="43" t="s">
        <v>218</v>
      </c>
      <c r="CY2" s="43" t="s">
        <v>218</v>
      </c>
      <c r="CZ2" s="43" t="s">
        <v>220</v>
      </c>
      <c r="DA2" s="43" t="s">
        <v>220</v>
      </c>
      <c r="DB2" s="43" t="s">
        <v>220</v>
      </c>
      <c r="DC2" s="43" t="s">
        <v>222</v>
      </c>
      <c r="DD2" s="43" t="s">
        <v>222</v>
      </c>
      <c r="DE2" s="43" t="s">
        <v>222</v>
      </c>
      <c r="DF2" s="43" t="s">
        <v>224</v>
      </c>
      <c r="DG2" s="43" t="s">
        <v>224</v>
      </c>
      <c r="DH2" s="43" t="s">
        <v>226</v>
      </c>
      <c r="DI2" s="43" t="s">
        <v>226</v>
      </c>
      <c r="DJ2" s="43" t="s">
        <v>226</v>
      </c>
      <c r="DK2" s="43" t="s">
        <v>228</v>
      </c>
      <c r="DL2" s="43" t="s">
        <v>228</v>
      </c>
      <c r="DM2" s="43" t="s">
        <v>228</v>
      </c>
      <c r="DN2" s="43" t="s">
        <v>230</v>
      </c>
      <c r="DO2" s="43" t="s">
        <v>230</v>
      </c>
      <c r="DP2" s="43" t="s">
        <v>232</v>
      </c>
      <c r="DQ2" s="43" t="s">
        <v>232</v>
      </c>
      <c r="DR2" s="43" t="s">
        <v>232</v>
      </c>
    </row>
    <row r="3" spans="1:122">
      <c r="A3" s="45"/>
      <c r="B3" s="46" t="s">
        <v>260</v>
      </c>
      <c r="C3" s="46" t="s">
        <v>260</v>
      </c>
      <c r="D3" s="43" t="s">
        <v>261</v>
      </c>
      <c r="E3" s="43" t="s">
        <v>263</v>
      </c>
      <c r="F3" s="43" t="s">
        <v>263</v>
      </c>
      <c r="G3" s="46" t="s">
        <v>260</v>
      </c>
      <c r="H3" s="43" t="s">
        <v>261</v>
      </c>
      <c r="I3" s="43" t="s">
        <v>262</v>
      </c>
      <c r="J3" s="43" t="s">
        <v>263</v>
      </c>
      <c r="K3" s="43" t="s">
        <v>262</v>
      </c>
      <c r="L3" s="43" t="s">
        <v>263</v>
      </c>
      <c r="M3" s="43" t="s">
        <v>262</v>
      </c>
      <c r="N3" s="43" t="s">
        <v>263</v>
      </c>
      <c r="O3" s="46" t="s">
        <v>260</v>
      </c>
      <c r="P3" s="43" t="s">
        <v>261</v>
      </c>
      <c r="Q3" s="46" t="s">
        <v>260</v>
      </c>
      <c r="R3" s="43" t="s">
        <v>261</v>
      </c>
      <c r="S3" s="46" t="s">
        <v>260</v>
      </c>
      <c r="T3" s="43" t="s">
        <v>261</v>
      </c>
      <c r="U3" s="43" t="s">
        <v>262</v>
      </c>
      <c r="V3" s="46" t="s">
        <v>260</v>
      </c>
      <c r="W3" s="43" t="s">
        <v>261</v>
      </c>
      <c r="X3" s="43" t="s">
        <v>262</v>
      </c>
      <c r="Y3" s="43" t="s">
        <v>263</v>
      </c>
      <c r="Z3" s="46" t="s">
        <v>260</v>
      </c>
      <c r="AA3" s="43" t="s">
        <v>261</v>
      </c>
      <c r="AB3" s="43" t="s">
        <v>262</v>
      </c>
      <c r="AC3" s="43" t="s">
        <v>263</v>
      </c>
      <c r="AD3" s="43" t="s">
        <v>263</v>
      </c>
      <c r="AE3" s="46" t="s">
        <v>260</v>
      </c>
      <c r="AF3" s="43" t="s">
        <v>261</v>
      </c>
      <c r="AG3" s="43" t="s">
        <v>262</v>
      </c>
      <c r="AH3" s="43" t="s">
        <v>263</v>
      </c>
      <c r="AI3" s="46" t="s">
        <v>260</v>
      </c>
      <c r="AJ3" s="43" t="s">
        <v>261</v>
      </c>
      <c r="AK3" s="43" t="s">
        <v>262</v>
      </c>
      <c r="AL3" s="46" t="s">
        <v>260</v>
      </c>
      <c r="AM3" s="43" t="s">
        <v>261</v>
      </c>
      <c r="AN3" s="43" t="s">
        <v>263</v>
      </c>
      <c r="AO3" s="43" t="s">
        <v>262</v>
      </c>
      <c r="AP3" s="46" t="s">
        <v>260</v>
      </c>
      <c r="AQ3" s="43" t="s">
        <v>261</v>
      </c>
      <c r="AR3" s="46" t="s">
        <v>260</v>
      </c>
      <c r="AS3" s="43" t="s">
        <v>261</v>
      </c>
      <c r="AT3" s="43" t="s">
        <v>262</v>
      </c>
      <c r="AU3" s="46" t="s">
        <v>260</v>
      </c>
      <c r="AV3" s="43" t="s">
        <v>261</v>
      </c>
      <c r="AW3" s="43" t="s">
        <v>262</v>
      </c>
      <c r="AX3" s="43" t="s">
        <v>263</v>
      </c>
      <c r="AY3" s="43" t="s">
        <v>262</v>
      </c>
      <c r="AZ3" s="46" t="s">
        <v>260</v>
      </c>
      <c r="BA3" s="43" t="s">
        <v>261</v>
      </c>
      <c r="BB3" s="43" t="s">
        <v>262</v>
      </c>
      <c r="BC3" s="46" t="s">
        <v>260</v>
      </c>
      <c r="BD3" s="43" t="s">
        <v>261</v>
      </c>
      <c r="BE3" s="43" t="s">
        <v>262</v>
      </c>
      <c r="BF3" s="43" t="s">
        <v>263</v>
      </c>
      <c r="BG3" s="43" t="s">
        <v>262</v>
      </c>
      <c r="BH3" s="46" t="s">
        <v>260</v>
      </c>
      <c r="BI3" s="43" t="s">
        <v>261</v>
      </c>
      <c r="BJ3" s="43" t="s">
        <v>262</v>
      </c>
      <c r="BK3" s="46" t="s">
        <v>260</v>
      </c>
      <c r="BL3" s="46" t="s">
        <v>260</v>
      </c>
      <c r="BM3" s="43" t="s">
        <v>261</v>
      </c>
      <c r="BN3" s="43" t="s">
        <v>263</v>
      </c>
      <c r="BO3" s="43" t="s">
        <v>263</v>
      </c>
      <c r="BP3" s="46" t="s">
        <v>260</v>
      </c>
      <c r="BQ3" s="43" t="s">
        <v>261</v>
      </c>
      <c r="BR3" s="43" t="s">
        <v>262</v>
      </c>
      <c r="BS3" s="43" t="s">
        <v>263</v>
      </c>
      <c r="BT3" s="43" t="s">
        <v>262</v>
      </c>
      <c r="BU3" s="43" t="s">
        <v>263</v>
      </c>
      <c r="BV3" s="43" t="s">
        <v>262</v>
      </c>
      <c r="BW3" s="43" t="s">
        <v>263</v>
      </c>
      <c r="BX3" s="46" t="s">
        <v>260</v>
      </c>
      <c r="BY3" s="43" t="s">
        <v>261</v>
      </c>
      <c r="BZ3" s="46" t="s">
        <v>260</v>
      </c>
      <c r="CA3" s="43" t="s">
        <v>261</v>
      </c>
      <c r="CB3" s="46" t="s">
        <v>260</v>
      </c>
      <c r="CC3" s="43" t="s">
        <v>261</v>
      </c>
      <c r="CD3" s="43" t="s">
        <v>262</v>
      </c>
      <c r="CE3" s="46" t="s">
        <v>260</v>
      </c>
      <c r="CF3" s="43" t="s">
        <v>261</v>
      </c>
      <c r="CG3" s="43" t="s">
        <v>262</v>
      </c>
      <c r="CH3" s="43" t="s">
        <v>263</v>
      </c>
      <c r="CI3" s="46" t="s">
        <v>260</v>
      </c>
      <c r="CJ3" s="43" t="s">
        <v>261</v>
      </c>
      <c r="CK3" s="43" t="s">
        <v>262</v>
      </c>
      <c r="CL3" s="43" t="s">
        <v>263</v>
      </c>
      <c r="CM3" s="43" t="s">
        <v>263</v>
      </c>
      <c r="CN3" s="46" t="s">
        <v>260</v>
      </c>
      <c r="CO3" s="43" t="s">
        <v>261</v>
      </c>
      <c r="CP3" s="43" t="s">
        <v>262</v>
      </c>
      <c r="CQ3" s="46" t="s">
        <v>260</v>
      </c>
      <c r="CR3" s="43" t="s">
        <v>261</v>
      </c>
      <c r="CS3" s="43" t="s">
        <v>262</v>
      </c>
      <c r="CT3" s="46" t="s">
        <v>260</v>
      </c>
      <c r="CU3" s="43" t="s">
        <v>261</v>
      </c>
      <c r="CV3" s="43" t="s">
        <v>263</v>
      </c>
      <c r="CW3" s="43" t="s">
        <v>262</v>
      </c>
      <c r="CX3" s="46" t="s">
        <v>260</v>
      </c>
      <c r="CY3" s="43" t="s">
        <v>261</v>
      </c>
      <c r="CZ3" s="46" t="s">
        <v>260</v>
      </c>
      <c r="DA3" s="43" t="s">
        <v>261</v>
      </c>
      <c r="DB3" s="43" t="s">
        <v>262</v>
      </c>
      <c r="DC3" s="46" t="s">
        <v>260</v>
      </c>
      <c r="DD3" s="43" t="s">
        <v>261</v>
      </c>
      <c r="DE3" s="43" t="s">
        <v>262</v>
      </c>
      <c r="DF3" s="43" t="s">
        <v>263</v>
      </c>
      <c r="DG3" s="43" t="s">
        <v>262</v>
      </c>
      <c r="DH3" s="46" t="s">
        <v>260</v>
      </c>
      <c r="DI3" s="43" t="s">
        <v>261</v>
      </c>
      <c r="DJ3" s="43" t="s">
        <v>262</v>
      </c>
      <c r="DK3" s="46" t="s">
        <v>260</v>
      </c>
      <c r="DL3" s="43" t="s">
        <v>261</v>
      </c>
      <c r="DM3" s="43" t="s">
        <v>262</v>
      </c>
      <c r="DN3" s="43" t="s">
        <v>263</v>
      </c>
      <c r="DO3" s="43" t="s">
        <v>262</v>
      </c>
      <c r="DP3" s="46" t="s">
        <v>260</v>
      </c>
      <c r="DQ3" s="43" t="s">
        <v>261</v>
      </c>
      <c r="DR3" s="43" t="s">
        <v>262</v>
      </c>
    </row>
    <row r="4" spans="1:122">
      <c r="A4" s="47" t="s">
        <v>155</v>
      </c>
      <c r="B4" s="48">
        <f>550+(700-550)/2</f>
        <v>625</v>
      </c>
      <c r="C4" s="48">
        <v>16.7</v>
      </c>
      <c r="D4" s="48">
        <v>16.7</v>
      </c>
      <c r="E4" s="49">
        <v>18.75</v>
      </c>
      <c r="F4" s="49">
        <v>93.75</v>
      </c>
      <c r="G4" s="50">
        <v>350</v>
      </c>
      <c r="H4" s="50">
        <v>350</v>
      </c>
      <c r="I4" s="50">
        <v>600</v>
      </c>
      <c r="J4" s="50">
        <v>5</v>
      </c>
      <c r="K4" s="50">
        <v>25</v>
      </c>
      <c r="L4" s="50">
        <v>3.5</v>
      </c>
      <c r="M4" s="50"/>
      <c r="N4" s="50">
        <v>5.5</v>
      </c>
      <c r="O4" s="50">
        <v>0.2</v>
      </c>
      <c r="P4" s="50">
        <v>0.2</v>
      </c>
      <c r="Q4" s="50">
        <v>0.4</v>
      </c>
      <c r="R4" s="50">
        <v>0.4</v>
      </c>
      <c r="S4" s="50">
        <v>2.5</v>
      </c>
      <c r="T4" s="50">
        <v>2.5</v>
      </c>
      <c r="U4" s="50"/>
      <c r="V4" s="50">
        <v>0.3</v>
      </c>
      <c r="W4" s="50">
        <v>0.3</v>
      </c>
      <c r="X4" s="50"/>
      <c r="Y4" s="50">
        <v>0.7</v>
      </c>
      <c r="Z4" s="50">
        <v>55</v>
      </c>
      <c r="AA4" s="50">
        <v>55</v>
      </c>
      <c r="AB4" s="50"/>
      <c r="AC4" s="50">
        <v>3.5</v>
      </c>
      <c r="AD4" s="50">
        <v>7</v>
      </c>
      <c r="AE4" s="50">
        <v>40</v>
      </c>
      <c r="AF4" s="50">
        <v>40</v>
      </c>
      <c r="AG4" s="54">
        <v>360</v>
      </c>
      <c r="AH4" s="50">
        <v>550</v>
      </c>
      <c r="AI4" s="50">
        <v>225</v>
      </c>
      <c r="AJ4" s="50">
        <v>225</v>
      </c>
      <c r="AK4" s="50"/>
      <c r="AL4" s="50">
        <v>40</v>
      </c>
      <c r="AM4" s="50">
        <v>40</v>
      </c>
      <c r="AN4" s="50">
        <v>190</v>
      </c>
      <c r="AO4" s="50"/>
      <c r="AP4" s="50">
        <v>2</v>
      </c>
      <c r="AQ4" s="50">
        <v>2.5</v>
      </c>
      <c r="AR4" s="50">
        <v>1.8</v>
      </c>
      <c r="AS4" s="50">
        <v>1.8</v>
      </c>
      <c r="AT4" s="50"/>
      <c r="AU4" s="50">
        <v>0.4</v>
      </c>
      <c r="AV4" s="50">
        <v>0.4</v>
      </c>
      <c r="AW4" s="50"/>
      <c r="AX4" s="50">
        <v>0.3</v>
      </c>
      <c r="AY4" s="50"/>
      <c r="AZ4" s="50">
        <v>115</v>
      </c>
      <c r="BA4" s="50">
        <v>115</v>
      </c>
      <c r="BB4" s="50">
        <v>300</v>
      </c>
      <c r="BC4" s="50">
        <v>15</v>
      </c>
      <c r="BD4" s="50">
        <v>15</v>
      </c>
      <c r="BE4" s="50"/>
      <c r="BF4" s="50">
        <v>0.9</v>
      </c>
      <c r="BG4" s="50"/>
      <c r="BH4" s="50">
        <v>2.8</v>
      </c>
      <c r="BI4" s="50">
        <v>2.8</v>
      </c>
      <c r="BJ4" s="50"/>
      <c r="BK4" s="48">
        <f>500+(650-500)/2</f>
        <v>575</v>
      </c>
      <c r="BL4" s="48">
        <v>16.7</v>
      </c>
      <c r="BM4" s="48">
        <v>16.7</v>
      </c>
      <c r="BN4" s="49">
        <v>17.25</v>
      </c>
      <c r="BO4" s="49">
        <v>86.25</v>
      </c>
      <c r="BP4" s="50">
        <v>350</v>
      </c>
      <c r="BQ4" s="50">
        <v>350</v>
      </c>
      <c r="BR4" s="50">
        <v>600</v>
      </c>
      <c r="BS4" s="50">
        <v>5</v>
      </c>
      <c r="BT4" s="50">
        <v>25</v>
      </c>
      <c r="BU4" s="50">
        <v>3.5</v>
      </c>
      <c r="BV4" s="50"/>
      <c r="BW4" s="50">
        <v>5.5</v>
      </c>
      <c r="BX4" s="50">
        <v>0.2</v>
      </c>
      <c r="BY4" s="50">
        <v>0.2</v>
      </c>
      <c r="BZ4" s="50">
        <v>0.4</v>
      </c>
      <c r="CA4" s="50">
        <v>0.4</v>
      </c>
      <c r="CB4" s="50">
        <v>2.5</v>
      </c>
      <c r="CC4" s="50">
        <v>2.5</v>
      </c>
      <c r="CD4" s="50"/>
      <c r="CE4" s="50">
        <v>0.3</v>
      </c>
      <c r="CF4" s="50">
        <v>0.3</v>
      </c>
      <c r="CG4" s="50"/>
      <c r="CH4" s="50">
        <v>0.7</v>
      </c>
      <c r="CI4" s="50">
        <v>55</v>
      </c>
      <c r="CJ4" s="50">
        <v>55</v>
      </c>
      <c r="CK4" s="50"/>
      <c r="CL4" s="50">
        <v>3.5</v>
      </c>
      <c r="CM4" s="50">
        <v>7</v>
      </c>
      <c r="CN4" s="50">
        <v>40</v>
      </c>
      <c r="CO4" s="50">
        <v>40</v>
      </c>
      <c r="CP4" s="54">
        <v>360</v>
      </c>
      <c r="CQ4" s="50">
        <v>225</v>
      </c>
      <c r="CR4" s="50">
        <v>225</v>
      </c>
      <c r="CS4" s="50"/>
      <c r="CT4" s="50">
        <v>40</v>
      </c>
      <c r="CU4" s="50">
        <v>40</v>
      </c>
      <c r="CV4" s="50">
        <v>190</v>
      </c>
      <c r="CW4" s="50"/>
      <c r="CX4" s="50">
        <v>3</v>
      </c>
      <c r="CY4" s="50">
        <v>4.5</v>
      </c>
      <c r="CZ4" s="50">
        <v>1.8</v>
      </c>
      <c r="DA4" s="50">
        <v>1.8</v>
      </c>
      <c r="DB4" s="50"/>
      <c r="DC4" s="50">
        <v>0.4</v>
      </c>
      <c r="DD4" s="50">
        <v>0.4</v>
      </c>
      <c r="DE4" s="50"/>
      <c r="DF4" s="50">
        <v>0.3</v>
      </c>
      <c r="DG4" s="50"/>
      <c r="DH4" s="50">
        <v>115</v>
      </c>
      <c r="DI4" s="50">
        <v>115</v>
      </c>
      <c r="DJ4" s="50">
        <v>300</v>
      </c>
      <c r="DK4" s="50">
        <v>15</v>
      </c>
      <c r="DL4" s="50">
        <v>15</v>
      </c>
      <c r="DM4" s="50"/>
      <c r="DN4" s="50">
        <v>0.9</v>
      </c>
      <c r="DO4" s="50"/>
      <c r="DP4" s="50">
        <v>2.8</v>
      </c>
      <c r="DQ4" s="50">
        <v>2.8</v>
      </c>
      <c r="DR4" s="50"/>
    </row>
    <row r="5" spans="1:122">
      <c r="A5" s="47" t="s">
        <v>156</v>
      </c>
      <c r="B5" s="43">
        <v>950</v>
      </c>
      <c r="C5" s="51">
        <v>15</v>
      </c>
      <c r="D5" s="51">
        <v>20</v>
      </c>
      <c r="E5" s="52">
        <v>28.5</v>
      </c>
      <c r="F5" s="52">
        <v>142.5</v>
      </c>
      <c r="G5" s="50">
        <v>300</v>
      </c>
      <c r="H5" s="50">
        <v>400</v>
      </c>
      <c r="I5" s="50">
        <v>600</v>
      </c>
      <c r="J5" s="50">
        <v>3.5</v>
      </c>
      <c r="K5" s="50">
        <v>25</v>
      </c>
      <c r="L5" s="50">
        <v>3</v>
      </c>
      <c r="M5" s="50">
        <v>150</v>
      </c>
      <c r="N5" s="50">
        <v>50</v>
      </c>
      <c r="O5" s="50">
        <v>0.3</v>
      </c>
      <c r="P5" s="50">
        <v>0.4</v>
      </c>
      <c r="Q5" s="50">
        <v>0.5</v>
      </c>
      <c r="R5" s="50">
        <v>0.6</v>
      </c>
      <c r="S5" s="50">
        <v>5</v>
      </c>
      <c r="T5" s="50">
        <v>6</v>
      </c>
      <c r="U5" s="50">
        <v>60</v>
      </c>
      <c r="V5" s="50">
        <v>0.4</v>
      </c>
      <c r="W5" s="50">
        <v>0.5</v>
      </c>
      <c r="X5" s="50">
        <v>10</v>
      </c>
      <c r="Y5" s="50">
        <v>1.5</v>
      </c>
      <c r="Z5" s="50">
        <v>70</v>
      </c>
      <c r="AA5" s="50">
        <v>90</v>
      </c>
      <c r="AB5" s="50">
        <v>200</v>
      </c>
      <c r="AC5" s="50">
        <v>3</v>
      </c>
      <c r="AD5" s="50">
        <v>20</v>
      </c>
      <c r="AE5" s="50">
        <v>30</v>
      </c>
      <c r="AF5" s="50">
        <v>35</v>
      </c>
      <c r="AG5" s="54">
        <v>1200</v>
      </c>
      <c r="AH5" s="50">
        <v>900</v>
      </c>
      <c r="AI5" s="50">
        <v>350</v>
      </c>
      <c r="AJ5" s="50">
        <v>450</v>
      </c>
      <c r="AK5" s="50"/>
      <c r="AL5" s="50">
        <v>60</v>
      </c>
      <c r="AM5" s="50">
        <v>70</v>
      </c>
      <c r="AN5" s="50">
        <v>600</v>
      </c>
      <c r="AO5" s="50"/>
      <c r="AP5" s="50">
        <v>3</v>
      </c>
      <c r="AQ5" s="50">
        <v>4</v>
      </c>
      <c r="AR5" s="50">
        <v>2.5</v>
      </c>
      <c r="AS5" s="50">
        <v>3.5</v>
      </c>
      <c r="AT5" s="50"/>
      <c r="AU5" s="50">
        <v>0.3</v>
      </c>
      <c r="AV5" s="50">
        <v>0.3</v>
      </c>
      <c r="AW5" s="50"/>
      <c r="AX5" s="50">
        <v>1.5</v>
      </c>
      <c r="AY5" s="50"/>
      <c r="AZ5" s="50">
        <v>35</v>
      </c>
      <c r="BA5" s="50">
        <v>50</v>
      </c>
      <c r="BB5" s="50">
        <v>600</v>
      </c>
      <c r="BC5" s="50">
        <v>10</v>
      </c>
      <c r="BD5" s="50">
        <v>10</v>
      </c>
      <c r="BE5" s="50">
        <v>100</v>
      </c>
      <c r="BF5" s="50"/>
      <c r="BG5" s="50"/>
      <c r="BH5" s="50">
        <v>10</v>
      </c>
      <c r="BI5" s="50">
        <v>10</v>
      </c>
      <c r="BJ5" s="50"/>
      <c r="BK5" s="43">
        <v>900</v>
      </c>
      <c r="BL5" s="51">
        <v>15</v>
      </c>
      <c r="BM5" s="51">
        <v>20</v>
      </c>
      <c r="BN5" s="52">
        <v>27.000000000000004</v>
      </c>
      <c r="BO5" s="52">
        <v>135</v>
      </c>
      <c r="BP5" s="50">
        <v>250</v>
      </c>
      <c r="BQ5" s="50">
        <v>350</v>
      </c>
      <c r="BR5" s="50">
        <v>600</v>
      </c>
      <c r="BS5" s="50">
        <v>3.5</v>
      </c>
      <c r="BT5" s="50">
        <v>25</v>
      </c>
      <c r="BU5" s="50">
        <v>3</v>
      </c>
      <c r="BV5" s="50">
        <v>150</v>
      </c>
      <c r="BW5" s="50">
        <v>60</v>
      </c>
      <c r="BX5" s="50">
        <v>0.3</v>
      </c>
      <c r="BY5" s="50">
        <v>0.4</v>
      </c>
      <c r="BZ5" s="50">
        <v>0.5</v>
      </c>
      <c r="CA5" s="50">
        <v>0.5</v>
      </c>
      <c r="CB5" s="50">
        <v>4</v>
      </c>
      <c r="CC5" s="50">
        <v>5</v>
      </c>
      <c r="CD5" s="50">
        <v>60</v>
      </c>
      <c r="CE5" s="50">
        <v>0.4</v>
      </c>
      <c r="CF5" s="50">
        <v>0.5</v>
      </c>
      <c r="CG5" s="50">
        <v>10</v>
      </c>
      <c r="CH5" s="50">
        <v>1.5</v>
      </c>
      <c r="CI5" s="50">
        <v>70</v>
      </c>
      <c r="CJ5" s="50">
        <v>90</v>
      </c>
      <c r="CK5" s="50">
        <v>200</v>
      </c>
      <c r="CL5" s="50">
        <v>3</v>
      </c>
      <c r="CM5" s="50">
        <v>20</v>
      </c>
      <c r="CN5" s="50">
        <v>30</v>
      </c>
      <c r="CO5" s="50">
        <v>35</v>
      </c>
      <c r="CP5" s="54">
        <v>1000</v>
      </c>
      <c r="CQ5" s="50">
        <v>350</v>
      </c>
      <c r="CR5" s="50">
        <v>400</v>
      </c>
      <c r="CS5" s="50"/>
      <c r="CT5" s="50">
        <v>60</v>
      </c>
      <c r="CU5" s="50">
        <v>70</v>
      </c>
      <c r="CV5" s="50">
        <v>500</v>
      </c>
      <c r="CW5" s="50"/>
      <c r="CX5" s="50">
        <v>3</v>
      </c>
      <c r="CY5" s="50">
        <v>4</v>
      </c>
      <c r="CZ5" s="50">
        <v>2</v>
      </c>
      <c r="DA5" s="50">
        <v>3</v>
      </c>
      <c r="DB5" s="50"/>
      <c r="DC5" s="50">
        <v>0.2</v>
      </c>
      <c r="DD5" s="50">
        <v>0.3</v>
      </c>
      <c r="DE5" s="50"/>
      <c r="DF5" s="50">
        <v>1.5</v>
      </c>
      <c r="DG5" s="50"/>
      <c r="DH5" s="50">
        <v>35</v>
      </c>
      <c r="DI5" s="50">
        <v>50</v>
      </c>
      <c r="DJ5" s="50">
        <v>600</v>
      </c>
      <c r="DK5" s="50">
        <v>10</v>
      </c>
      <c r="DL5" s="50">
        <v>10</v>
      </c>
      <c r="DM5" s="50">
        <v>100</v>
      </c>
      <c r="DN5" s="50"/>
      <c r="DO5" s="50"/>
      <c r="DP5" s="50">
        <v>10</v>
      </c>
      <c r="DQ5" s="50">
        <v>10</v>
      </c>
      <c r="DR5" s="50"/>
    </row>
    <row r="6" spans="1:122">
      <c r="A6" s="47" t="s">
        <v>157</v>
      </c>
      <c r="B6" s="53">
        <v>1300</v>
      </c>
      <c r="C6" s="51">
        <v>20</v>
      </c>
      <c r="D6" s="51">
        <v>25</v>
      </c>
      <c r="E6" s="52">
        <v>39</v>
      </c>
      <c r="F6" s="52">
        <v>195</v>
      </c>
      <c r="G6" s="50">
        <v>350</v>
      </c>
      <c r="H6" s="50">
        <v>500</v>
      </c>
      <c r="I6" s="50">
        <v>700</v>
      </c>
      <c r="J6" s="50">
        <v>4.5</v>
      </c>
      <c r="K6" s="50">
        <v>30</v>
      </c>
      <c r="L6" s="50">
        <v>4</v>
      </c>
      <c r="M6" s="50">
        <v>200</v>
      </c>
      <c r="N6" s="50">
        <v>60</v>
      </c>
      <c r="O6" s="50">
        <v>0.4</v>
      </c>
      <c r="P6" s="50">
        <v>0.5</v>
      </c>
      <c r="Q6" s="50">
        <v>0.7</v>
      </c>
      <c r="R6" s="50">
        <v>0.8</v>
      </c>
      <c r="S6" s="50">
        <v>6</v>
      </c>
      <c r="T6" s="50">
        <v>8</v>
      </c>
      <c r="U6" s="50">
        <v>80</v>
      </c>
      <c r="V6" s="50">
        <v>0.5</v>
      </c>
      <c r="W6" s="50">
        <v>0.6</v>
      </c>
      <c r="X6" s="50">
        <v>15</v>
      </c>
      <c r="Y6" s="50">
        <v>1.5</v>
      </c>
      <c r="Z6" s="50">
        <v>80</v>
      </c>
      <c r="AA6" s="50">
        <v>100</v>
      </c>
      <c r="AB6" s="50">
        <v>300</v>
      </c>
      <c r="AC6" s="50">
        <v>4</v>
      </c>
      <c r="AD6" s="50">
        <v>20</v>
      </c>
      <c r="AE6" s="50">
        <v>35</v>
      </c>
      <c r="AF6" s="50">
        <v>40</v>
      </c>
      <c r="AG6" s="54">
        <v>1400</v>
      </c>
      <c r="AH6" s="50">
        <v>1100</v>
      </c>
      <c r="AI6" s="50">
        <v>500</v>
      </c>
      <c r="AJ6" s="50">
        <v>600</v>
      </c>
      <c r="AK6" s="50"/>
      <c r="AL6" s="50">
        <v>80</v>
      </c>
      <c r="AM6" s="50">
        <v>100</v>
      </c>
      <c r="AN6" s="50">
        <v>700</v>
      </c>
      <c r="AO6" s="50"/>
      <c r="AP6" s="50">
        <v>3.5</v>
      </c>
      <c r="AQ6" s="50">
        <v>5</v>
      </c>
      <c r="AR6" s="50">
        <v>3</v>
      </c>
      <c r="AS6" s="50">
        <v>4</v>
      </c>
      <c r="AT6" s="50"/>
      <c r="AU6" s="50">
        <v>0.3</v>
      </c>
      <c r="AV6" s="50">
        <v>0.4</v>
      </c>
      <c r="AW6" s="50"/>
      <c r="AX6" s="50">
        <v>2</v>
      </c>
      <c r="AY6" s="50"/>
      <c r="AZ6" s="50">
        <v>40</v>
      </c>
      <c r="BA6" s="50">
        <v>60</v>
      </c>
      <c r="BB6" s="50">
        <v>900</v>
      </c>
      <c r="BC6" s="50">
        <v>10</v>
      </c>
      <c r="BD6" s="50">
        <v>15</v>
      </c>
      <c r="BE6" s="50">
        <v>100</v>
      </c>
      <c r="BF6" s="50"/>
      <c r="BG6" s="50"/>
      <c r="BH6" s="50">
        <v>10</v>
      </c>
      <c r="BI6" s="50">
        <v>10</v>
      </c>
      <c r="BJ6" s="50"/>
      <c r="BK6" s="53">
        <v>1250</v>
      </c>
      <c r="BL6" s="51">
        <v>20</v>
      </c>
      <c r="BM6" s="51">
        <v>25</v>
      </c>
      <c r="BN6" s="52">
        <v>37.5</v>
      </c>
      <c r="BO6" s="52">
        <v>187.5</v>
      </c>
      <c r="BP6" s="50">
        <v>350</v>
      </c>
      <c r="BQ6" s="50">
        <v>500</v>
      </c>
      <c r="BR6" s="50">
        <v>700</v>
      </c>
      <c r="BS6" s="50">
        <v>4.5</v>
      </c>
      <c r="BT6" s="50">
        <v>30</v>
      </c>
      <c r="BU6" s="50">
        <v>4</v>
      </c>
      <c r="BV6" s="50">
        <v>200</v>
      </c>
      <c r="BW6" s="50">
        <v>70</v>
      </c>
      <c r="BX6" s="50">
        <v>0.4</v>
      </c>
      <c r="BY6" s="50">
        <v>0.5</v>
      </c>
      <c r="BZ6" s="50">
        <v>0.6</v>
      </c>
      <c r="CA6" s="50">
        <v>0.8</v>
      </c>
      <c r="CB6" s="50">
        <v>6</v>
      </c>
      <c r="CC6" s="50">
        <v>7</v>
      </c>
      <c r="CD6" s="50">
        <v>80</v>
      </c>
      <c r="CE6" s="50">
        <v>0.5</v>
      </c>
      <c r="CF6" s="50">
        <v>0.6</v>
      </c>
      <c r="CG6" s="50">
        <v>15</v>
      </c>
      <c r="CH6" s="50">
        <v>1.5</v>
      </c>
      <c r="CI6" s="50">
        <v>80</v>
      </c>
      <c r="CJ6" s="50">
        <v>100</v>
      </c>
      <c r="CK6" s="50">
        <v>300</v>
      </c>
      <c r="CL6" s="50">
        <v>4</v>
      </c>
      <c r="CM6" s="50">
        <v>20</v>
      </c>
      <c r="CN6" s="50">
        <v>35</v>
      </c>
      <c r="CO6" s="50">
        <v>40</v>
      </c>
      <c r="CP6" s="54">
        <v>1400</v>
      </c>
      <c r="CQ6" s="50">
        <v>450</v>
      </c>
      <c r="CR6" s="50">
        <v>550</v>
      </c>
      <c r="CS6" s="50"/>
      <c r="CT6" s="50">
        <v>80</v>
      </c>
      <c r="CU6" s="50">
        <v>100</v>
      </c>
      <c r="CV6" s="50">
        <v>700</v>
      </c>
      <c r="CW6" s="50"/>
      <c r="CX6" s="50">
        <v>3.5</v>
      </c>
      <c r="CY6" s="50">
        <v>5</v>
      </c>
      <c r="CZ6" s="50">
        <v>2.5</v>
      </c>
      <c r="DA6" s="50">
        <v>3.5</v>
      </c>
      <c r="DB6" s="50"/>
      <c r="DC6" s="50">
        <v>0.3</v>
      </c>
      <c r="DD6" s="50">
        <v>0.3</v>
      </c>
      <c r="DE6" s="50"/>
      <c r="DF6" s="50">
        <v>2</v>
      </c>
      <c r="DG6" s="50"/>
      <c r="DH6" s="50">
        <v>40</v>
      </c>
      <c r="DI6" s="50">
        <v>60</v>
      </c>
      <c r="DJ6" s="50">
        <v>900</v>
      </c>
      <c r="DK6" s="50">
        <v>10</v>
      </c>
      <c r="DL6" s="50">
        <v>10</v>
      </c>
      <c r="DM6" s="50">
        <v>100</v>
      </c>
      <c r="DN6" s="50"/>
      <c r="DO6" s="50"/>
      <c r="DP6" s="50">
        <v>10</v>
      </c>
      <c r="DQ6" s="50">
        <v>10</v>
      </c>
      <c r="DR6" s="50"/>
    </row>
    <row r="7" spans="1:122">
      <c r="A7" s="47" t="s">
        <v>158</v>
      </c>
      <c r="B7" s="53">
        <v>1550</v>
      </c>
      <c r="C7" s="51">
        <v>25</v>
      </c>
      <c r="D7" s="51">
        <v>30</v>
      </c>
      <c r="E7" s="52">
        <v>46.5</v>
      </c>
      <c r="F7" s="52">
        <v>232.5</v>
      </c>
      <c r="G7" s="50">
        <v>350</v>
      </c>
      <c r="H7" s="50">
        <v>500</v>
      </c>
      <c r="I7" s="50">
        <v>950</v>
      </c>
      <c r="J7" s="50">
        <v>5.5</v>
      </c>
      <c r="K7" s="50">
        <v>40</v>
      </c>
      <c r="L7" s="50">
        <v>4.5</v>
      </c>
      <c r="M7" s="50">
        <v>300</v>
      </c>
      <c r="N7" s="50">
        <v>80</v>
      </c>
      <c r="O7" s="50">
        <v>0.5</v>
      </c>
      <c r="P7" s="50">
        <v>0.7</v>
      </c>
      <c r="Q7" s="50">
        <v>0.8</v>
      </c>
      <c r="R7" s="50">
        <v>0.9</v>
      </c>
      <c r="S7" s="50">
        <v>7</v>
      </c>
      <c r="T7" s="50">
        <v>9</v>
      </c>
      <c r="U7" s="50">
        <v>100</v>
      </c>
      <c r="V7" s="50">
        <v>0.6</v>
      </c>
      <c r="W7" s="50">
        <v>0.7</v>
      </c>
      <c r="X7" s="50">
        <v>20</v>
      </c>
      <c r="Y7" s="50">
        <v>2</v>
      </c>
      <c r="Z7" s="50">
        <v>110</v>
      </c>
      <c r="AA7" s="50">
        <v>130</v>
      </c>
      <c r="AB7" s="50">
        <v>400</v>
      </c>
      <c r="AC7" s="50">
        <v>5</v>
      </c>
      <c r="AD7" s="50">
        <v>30</v>
      </c>
      <c r="AE7" s="50">
        <v>40</v>
      </c>
      <c r="AF7" s="50">
        <v>50</v>
      </c>
      <c r="AG7" s="54">
        <v>1800</v>
      </c>
      <c r="AH7" s="50">
        <v>1300</v>
      </c>
      <c r="AI7" s="50">
        <v>500</v>
      </c>
      <c r="AJ7" s="50">
        <v>600</v>
      </c>
      <c r="AK7" s="50"/>
      <c r="AL7" s="50">
        <v>110</v>
      </c>
      <c r="AM7" s="50">
        <v>130</v>
      </c>
      <c r="AN7" s="50">
        <v>900</v>
      </c>
      <c r="AO7" s="50"/>
      <c r="AP7" s="50">
        <v>4.5</v>
      </c>
      <c r="AQ7" s="50">
        <v>6</v>
      </c>
      <c r="AR7" s="50">
        <v>3.5</v>
      </c>
      <c r="AS7" s="50">
        <v>5</v>
      </c>
      <c r="AT7" s="50"/>
      <c r="AU7" s="50">
        <v>0.4</v>
      </c>
      <c r="AV7" s="50">
        <v>0.4</v>
      </c>
      <c r="AW7" s="50"/>
      <c r="AX7" s="50">
        <v>2</v>
      </c>
      <c r="AY7" s="50"/>
      <c r="AZ7" s="50">
        <v>55</v>
      </c>
      <c r="BA7" s="50">
        <v>75</v>
      </c>
      <c r="BB7" s="50">
        <v>1200</v>
      </c>
      <c r="BC7" s="50">
        <v>15</v>
      </c>
      <c r="BD7" s="50">
        <v>15</v>
      </c>
      <c r="BE7" s="50">
        <v>150</v>
      </c>
      <c r="BF7" s="50"/>
      <c r="BG7" s="50"/>
      <c r="BH7" s="50">
        <v>10</v>
      </c>
      <c r="BI7" s="50">
        <v>15</v>
      </c>
      <c r="BJ7" s="50"/>
      <c r="BK7" s="53">
        <v>1450</v>
      </c>
      <c r="BL7" s="51">
        <v>25</v>
      </c>
      <c r="BM7" s="51">
        <v>30</v>
      </c>
      <c r="BN7" s="52">
        <v>43.5</v>
      </c>
      <c r="BO7" s="52">
        <v>217.5</v>
      </c>
      <c r="BP7" s="50">
        <v>350</v>
      </c>
      <c r="BQ7" s="50">
        <v>500</v>
      </c>
      <c r="BR7" s="50">
        <v>950</v>
      </c>
      <c r="BS7" s="50">
        <v>5.5</v>
      </c>
      <c r="BT7" s="50">
        <v>40</v>
      </c>
      <c r="BU7" s="50">
        <v>4</v>
      </c>
      <c r="BV7" s="50">
        <v>300</v>
      </c>
      <c r="BW7" s="50">
        <v>90</v>
      </c>
      <c r="BX7" s="50">
        <v>0.4</v>
      </c>
      <c r="BY7" s="50">
        <v>0.6</v>
      </c>
      <c r="BZ7" s="50">
        <v>0.7</v>
      </c>
      <c r="CA7" s="50">
        <v>0.9</v>
      </c>
      <c r="CB7" s="50">
        <v>7</v>
      </c>
      <c r="CC7" s="50">
        <v>8</v>
      </c>
      <c r="CD7" s="50">
        <v>100</v>
      </c>
      <c r="CE7" s="50">
        <v>0.6</v>
      </c>
      <c r="CF7" s="50">
        <v>0.7</v>
      </c>
      <c r="CG7" s="50">
        <v>20</v>
      </c>
      <c r="CH7" s="50">
        <v>2</v>
      </c>
      <c r="CI7" s="50">
        <v>110</v>
      </c>
      <c r="CJ7" s="50">
        <v>130</v>
      </c>
      <c r="CK7" s="50">
        <v>400</v>
      </c>
      <c r="CL7" s="50">
        <v>5</v>
      </c>
      <c r="CM7" s="50">
        <v>30</v>
      </c>
      <c r="CN7" s="50">
        <v>40</v>
      </c>
      <c r="CO7" s="50">
        <v>50</v>
      </c>
      <c r="CP7" s="54">
        <v>1800</v>
      </c>
      <c r="CQ7" s="50">
        <v>450</v>
      </c>
      <c r="CR7" s="50">
        <v>550</v>
      </c>
      <c r="CS7" s="50"/>
      <c r="CT7" s="50">
        <v>110</v>
      </c>
      <c r="CU7" s="50">
        <v>130</v>
      </c>
      <c r="CV7" s="50">
        <v>800</v>
      </c>
      <c r="CW7" s="50"/>
      <c r="CX7" s="50">
        <v>4.5</v>
      </c>
      <c r="CY7" s="50">
        <v>6</v>
      </c>
      <c r="CZ7" s="50">
        <v>3</v>
      </c>
      <c r="DA7" s="50">
        <v>4.5</v>
      </c>
      <c r="DB7" s="50"/>
      <c r="DC7" s="50">
        <v>0.4</v>
      </c>
      <c r="DD7" s="50">
        <v>0.4</v>
      </c>
      <c r="DE7" s="50"/>
      <c r="DF7" s="50">
        <v>2</v>
      </c>
      <c r="DG7" s="50"/>
      <c r="DH7" s="50">
        <v>55</v>
      </c>
      <c r="DI7" s="50">
        <v>75</v>
      </c>
      <c r="DJ7" s="50">
        <v>1200</v>
      </c>
      <c r="DK7" s="50">
        <v>15</v>
      </c>
      <c r="DL7" s="50">
        <v>15</v>
      </c>
      <c r="DM7" s="50">
        <v>150</v>
      </c>
      <c r="DN7" s="50"/>
      <c r="DO7" s="50"/>
      <c r="DP7" s="50">
        <v>10</v>
      </c>
      <c r="DQ7" s="50">
        <v>15</v>
      </c>
      <c r="DR7" s="50"/>
    </row>
    <row r="8" spans="1:122">
      <c r="A8" s="47" t="s">
        <v>159</v>
      </c>
      <c r="B8" s="53">
        <v>1850</v>
      </c>
      <c r="C8" s="51">
        <v>30</v>
      </c>
      <c r="D8" s="51">
        <v>40</v>
      </c>
      <c r="E8" s="52">
        <v>55.500000000000007</v>
      </c>
      <c r="F8" s="52">
        <v>277.5</v>
      </c>
      <c r="G8" s="50">
        <v>350</v>
      </c>
      <c r="H8" s="50">
        <v>500</v>
      </c>
      <c r="I8" s="50">
        <v>1200</v>
      </c>
      <c r="J8" s="50">
        <v>6.5</v>
      </c>
      <c r="K8" s="50">
        <v>40</v>
      </c>
      <c r="L8" s="50">
        <v>5</v>
      </c>
      <c r="M8" s="50">
        <v>350</v>
      </c>
      <c r="N8" s="50">
        <v>90</v>
      </c>
      <c r="O8" s="50">
        <v>0.6</v>
      </c>
      <c r="P8" s="50">
        <v>0.8</v>
      </c>
      <c r="Q8" s="50">
        <v>0.9</v>
      </c>
      <c r="R8" s="50">
        <v>1.1000000000000001</v>
      </c>
      <c r="S8" s="50">
        <v>9</v>
      </c>
      <c r="T8" s="50">
        <v>11</v>
      </c>
      <c r="U8" s="50">
        <v>150</v>
      </c>
      <c r="V8" s="50">
        <v>0.8</v>
      </c>
      <c r="W8" s="50">
        <v>0.9</v>
      </c>
      <c r="X8" s="50">
        <v>25</v>
      </c>
      <c r="Y8" s="50">
        <v>2.5</v>
      </c>
      <c r="Z8" s="50">
        <v>130</v>
      </c>
      <c r="AA8" s="50">
        <v>150</v>
      </c>
      <c r="AB8" s="50">
        <v>500</v>
      </c>
      <c r="AC8" s="50">
        <v>6</v>
      </c>
      <c r="AD8" s="50">
        <v>30</v>
      </c>
      <c r="AE8" s="50">
        <v>50</v>
      </c>
      <c r="AF8" s="50">
        <v>60</v>
      </c>
      <c r="AG8" s="54">
        <v>2000</v>
      </c>
      <c r="AH8" s="50">
        <v>1600</v>
      </c>
      <c r="AI8" s="50">
        <v>550</v>
      </c>
      <c r="AJ8" s="50">
        <v>650</v>
      </c>
      <c r="AK8" s="50"/>
      <c r="AL8" s="50">
        <v>140</v>
      </c>
      <c r="AM8" s="50">
        <v>170</v>
      </c>
      <c r="AN8" s="50">
        <v>1000</v>
      </c>
      <c r="AO8" s="50"/>
      <c r="AP8" s="50">
        <v>5.5</v>
      </c>
      <c r="AQ8" s="50">
        <v>7.5</v>
      </c>
      <c r="AR8" s="50">
        <v>4</v>
      </c>
      <c r="AS8" s="50">
        <v>5.5</v>
      </c>
      <c r="AT8" s="50"/>
      <c r="AU8" s="50">
        <v>0.4</v>
      </c>
      <c r="AV8" s="50">
        <v>0.5</v>
      </c>
      <c r="AW8" s="50"/>
      <c r="AX8" s="50">
        <v>2.5</v>
      </c>
      <c r="AY8" s="50"/>
      <c r="AZ8" s="50">
        <v>65</v>
      </c>
      <c r="BA8" s="50">
        <v>90</v>
      </c>
      <c r="BB8" s="50">
        <v>1500</v>
      </c>
      <c r="BC8" s="50">
        <v>15</v>
      </c>
      <c r="BD8" s="50">
        <v>20</v>
      </c>
      <c r="BE8" s="50">
        <v>200</v>
      </c>
      <c r="BF8" s="50"/>
      <c r="BG8" s="50"/>
      <c r="BH8" s="50">
        <v>15</v>
      </c>
      <c r="BI8" s="50">
        <v>20</v>
      </c>
      <c r="BJ8" s="50"/>
      <c r="BK8" s="53">
        <v>1700</v>
      </c>
      <c r="BL8" s="51">
        <v>30</v>
      </c>
      <c r="BM8" s="51">
        <v>40</v>
      </c>
      <c r="BN8" s="52">
        <v>51.000000000000007</v>
      </c>
      <c r="BO8" s="52">
        <v>255</v>
      </c>
      <c r="BP8" s="50">
        <v>350</v>
      </c>
      <c r="BQ8" s="50">
        <v>500</v>
      </c>
      <c r="BR8" s="50">
        <v>1200</v>
      </c>
      <c r="BS8" s="50">
        <v>6.5</v>
      </c>
      <c r="BT8" s="50">
        <v>40</v>
      </c>
      <c r="BU8" s="50">
        <v>5</v>
      </c>
      <c r="BV8" s="50">
        <v>350</v>
      </c>
      <c r="BW8" s="50">
        <v>110</v>
      </c>
      <c r="BX8" s="50">
        <v>0.5</v>
      </c>
      <c r="BY8" s="50">
        <v>0.7</v>
      </c>
      <c r="BZ8" s="50">
        <v>0.9</v>
      </c>
      <c r="CA8" s="50">
        <v>1</v>
      </c>
      <c r="CB8" s="50">
        <v>8</v>
      </c>
      <c r="CC8" s="50">
        <v>10</v>
      </c>
      <c r="CD8" s="50">
        <v>150</v>
      </c>
      <c r="CE8" s="50">
        <v>0.8</v>
      </c>
      <c r="CF8" s="50">
        <v>0.9</v>
      </c>
      <c r="CG8" s="50">
        <v>25</v>
      </c>
      <c r="CH8" s="50">
        <v>2.5</v>
      </c>
      <c r="CI8" s="50">
        <v>130</v>
      </c>
      <c r="CJ8" s="50">
        <v>150</v>
      </c>
      <c r="CK8" s="50">
        <v>500</v>
      </c>
      <c r="CL8" s="50">
        <v>6</v>
      </c>
      <c r="CM8" s="50">
        <v>30</v>
      </c>
      <c r="CN8" s="50">
        <v>50</v>
      </c>
      <c r="CO8" s="50">
        <v>60</v>
      </c>
      <c r="CP8" s="54">
        <v>2000</v>
      </c>
      <c r="CQ8" s="50">
        <v>600</v>
      </c>
      <c r="CR8" s="50">
        <v>750</v>
      </c>
      <c r="CS8" s="50"/>
      <c r="CT8" s="50">
        <v>140</v>
      </c>
      <c r="CU8" s="50">
        <v>160</v>
      </c>
      <c r="CV8" s="50">
        <v>900</v>
      </c>
      <c r="CW8" s="50"/>
      <c r="CX8" s="50">
        <v>6</v>
      </c>
      <c r="CY8" s="50">
        <v>8</v>
      </c>
      <c r="CZ8" s="50">
        <v>4</v>
      </c>
      <c r="DA8" s="50">
        <v>5.5</v>
      </c>
      <c r="DB8" s="50"/>
      <c r="DC8" s="50">
        <v>0.4</v>
      </c>
      <c r="DD8" s="50">
        <v>0.5</v>
      </c>
      <c r="DE8" s="50"/>
      <c r="DF8" s="50">
        <v>2.5</v>
      </c>
      <c r="DG8" s="50"/>
      <c r="DH8" s="50">
        <v>65</v>
      </c>
      <c r="DI8" s="50">
        <v>90</v>
      </c>
      <c r="DJ8" s="50">
        <v>1500</v>
      </c>
      <c r="DK8" s="50">
        <v>15</v>
      </c>
      <c r="DL8" s="50">
        <v>20</v>
      </c>
      <c r="DM8" s="50">
        <v>200</v>
      </c>
      <c r="DN8" s="50"/>
      <c r="DO8" s="50"/>
      <c r="DP8" s="50">
        <v>15</v>
      </c>
      <c r="DQ8" s="50">
        <v>15</v>
      </c>
      <c r="DR8" s="50"/>
    </row>
    <row r="9" spans="1:122">
      <c r="A9" s="47" t="s">
        <v>160</v>
      </c>
      <c r="B9" s="53">
        <v>2250</v>
      </c>
      <c r="C9" s="51">
        <v>40</v>
      </c>
      <c r="D9" s="51">
        <v>45</v>
      </c>
      <c r="E9" s="52">
        <v>67.5</v>
      </c>
      <c r="F9" s="52">
        <v>337.5</v>
      </c>
      <c r="G9" s="50">
        <v>450</v>
      </c>
      <c r="H9" s="50">
        <v>600</v>
      </c>
      <c r="I9" s="50">
        <v>1500</v>
      </c>
      <c r="J9" s="50">
        <v>8</v>
      </c>
      <c r="K9" s="50">
        <v>60</v>
      </c>
      <c r="L9" s="50">
        <v>5</v>
      </c>
      <c r="M9" s="50">
        <v>450</v>
      </c>
      <c r="N9" s="50">
        <v>110</v>
      </c>
      <c r="O9" s="50">
        <v>0.7</v>
      </c>
      <c r="P9" s="50">
        <v>0.9</v>
      </c>
      <c r="Q9" s="50">
        <v>1.1000000000000001</v>
      </c>
      <c r="R9" s="50">
        <v>1.4</v>
      </c>
      <c r="S9" s="50">
        <v>11</v>
      </c>
      <c r="T9" s="50">
        <v>13</v>
      </c>
      <c r="U9" s="50">
        <v>200</v>
      </c>
      <c r="V9" s="50">
        <v>0.9</v>
      </c>
      <c r="W9" s="50">
        <v>1</v>
      </c>
      <c r="X9" s="50">
        <v>30</v>
      </c>
      <c r="Y9" s="50">
        <v>3</v>
      </c>
      <c r="Z9" s="50">
        <v>150</v>
      </c>
      <c r="AA9" s="50">
        <v>180</v>
      </c>
      <c r="AB9" s="50">
        <v>700</v>
      </c>
      <c r="AC9" s="50">
        <v>6</v>
      </c>
      <c r="AD9" s="50">
        <v>40</v>
      </c>
      <c r="AE9" s="50">
        <v>60</v>
      </c>
      <c r="AF9" s="50">
        <v>70</v>
      </c>
      <c r="AG9" s="54">
        <v>2400</v>
      </c>
      <c r="AH9" s="50">
        <v>1900</v>
      </c>
      <c r="AI9" s="50">
        <v>600</v>
      </c>
      <c r="AJ9" s="50">
        <v>700</v>
      </c>
      <c r="AK9" s="50"/>
      <c r="AL9" s="50">
        <v>180</v>
      </c>
      <c r="AM9" s="50">
        <v>210</v>
      </c>
      <c r="AN9" s="50">
        <v>1100</v>
      </c>
      <c r="AO9" s="50"/>
      <c r="AP9" s="50">
        <v>6.5</v>
      </c>
      <c r="AQ9" s="50">
        <v>9.5</v>
      </c>
      <c r="AR9" s="50">
        <v>5.5</v>
      </c>
      <c r="AS9" s="50">
        <v>8</v>
      </c>
      <c r="AT9" s="50"/>
      <c r="AU9" s="50">
        <v>0.5</v>
      </c>
      <c r="AV9" s="50">
        <v>0.6</v>
      </c>
      <c r="AW9" s="50"/>
      <c r="AX9" s="50">
        <v>3</v>
      </c>
      <c r="AY9" s="50"/>
      <c r="AZ9" s="50">
        <v>75</v>
      </c>
      <c r="BA9" s="50">
        <v>110</v>
      </c>
      <c r="BB9" s="50">
        <v>2000</v>
      </c>
      <c r="BC9" s="50">
        <v>20</v>
      </c>
      <c r="BD9" s="50">
        <v>25</v>
      </c>
      <c r="BE9" s="50">
        <v>250</v>
      </c>
      <c r="BF9" s="50"/>
      <c r="BG9" s="50"/>
      <c r="BH9" s="50">
        <v>15</v>
      </c>
      <c r="BI9" s="50">
        <v>20</v>
      </c>
      <c r="BJ9" s="50"/>
      <c r="BK9" s="53">
        <v>2100</v>
      </c>
      <c r="BL9" s="51">
        <v>40</v>
      </c>
      <c r="BM9" s="51">
        <v>50</v>
      </c>
      <c r="BN9" s="52">
        <v>63</v>
      </c>
      <c r="BO9" s="52">
        <v>315</v>
      </c>
      <c r="BP9" s="50">
        <v>400</v>
      </c>
      <c r="BQ9" s="50">
        <v>600</v>
      </c>
      <c r="BR9" s="50">
        <v>1500</v>
      </c>
      <c r="BS9" s="50">
        <v>8</v>
      </c>
      <c r="BT9" s="50">
        <v>60</v>
      </c>
      <c r="BU9" s="50">
        <v>5.5</v>
      </c>
      <c r="BV9" s="50">
        <v>450</v>
      </c>
      <c r="BW9" s="50">
        <v>130</v>
      </c>
      <c r="BX9" s="50">
        <v>0.6</v>
      </c>
      <c r="BY9" s="50">
        <v>0.9</v>
      </c>
      <c r="BZ9" s="50">
        <v>1.1000000000000001</v>
      </c>
      <c r="CA9" s="50">
        <v>1.3</v>
      </c>
      <c r="CB9" s="50">
        <v>10</v>
      </c>
      <c r="CC9" s="50">
        <v>12</v>
      </c>
      <c r="CD9" s="50">
        <v>200</v>
      </c>
      <c r="CE9" s="50">
        <v>1</v>
      </c>
      <c r="CF9" s="50">
        <v>1.2</v>
      </c>
      <c r="CG9" s="50">
        <v>30</v>
      </c>
      <c r="CH9" s="50">
        <v>3</v>
      </c>
      <c r="CI9" s="50">
        <v>150</v>
      </c>
      <c r="CJ9" s="50">
        <v>180</v>
      </c>
      <c r="CK9" s="50">
        <v>700</v>
      </c>
      <c r="CL9" s="50">
        <v>6</v>
      </c>
      <c r="CM9" s="50">
        <v>40</v>
      </c>
      <c r="CN9" s="50">
        <v>60</v>
      </c>
      <c r="CO9" s="50">
        <v>70</v>
      </c>
      <c r="CP9" s="54">
        <v>2400</v>
      </c>
      <c r="CQ9" s="50">
        <v>600</v>
      </c>
      <c r="CR9" s="50">
        <v>750</v>
      </c>
      <c r="CS9" s="50"/>
      <c r="CT9" s="50">
        <v>180</v>
      </c>
      <c r="CU9" s="50">
        <v>220</v>
      </c>
      <c r="CV9" s="50">
        <v>1000</v>
      </c>
      <c r="CW9" s="50"/>
      <c r="CX9" s="50">
        <v>6.5</v>
      </c>
      <c r="CY9" s="50">
        <v>9</v>
      </c>
      <c r="CZ9" s="50">
        <v>5.5</v>
      </c>
      <c r="DA9" s="50">
        <v>7.5</v>
      </c>
      <c r="DB9" s="50"/>
      <c r="DC9" s="50">
        <v>0.5</v>
      </c>
      <c r="DD9" s="50">
        <v>0.6</v>
      </c>
      <c r="DE9" s="50"/>
      <c r="DF9" s="50">
        <v>3</v>
      </c>
      <c r="DG9" s="50"/>
      <c r="DH9" s="50">
        <v>75</v>
      </c>
      <c r="DI9" s="50">
        <v>110</v>
      </c>
      <c r="DJ9" s="50">
        <v>2000</v>
      </c>
      <c r="DK9" s="50">
        <v>20</v>
      </c>
      <c r="DL9" s="50">
        <v>25</v>
      </c>
      <c r="DM9" s="50">
        <v>250</v>
      </c>
      <c r="DN9" s="50"/>
      <c r="DO9" s="50"/>
      <c r="DP9" s="50">
        <v>15</v>
      </c>
      <c r="DQ9" s="50">
        <v>20</v>
      </c>
      <c r="DR9" s="50"/>
    </row>
    <row r="10" spans="1:122">
      <c r="A10" s="47" t="s">
        <v>161</v>
      </c>
      <c r="B10" s="53">
        <v>2600</v>
      </c>
      <c r="C10" s="51">
        <v>50</v>
      </c>
      <c r="D10" s="51">
        <v>60</v>
      </c>
      <c r="E10" s="52">
        <v>78</v>
      </c>
      <c r="F10" s="52">
        <v>390</v>
      </c>
      <c r="G10" s="50">
        <v>550</v>
      </c>
      <c r="H10" s="50">
        <v>800</v>
      </c>
      <c r="I10" s="50">
        <v>2100</v>
      </c>
      <c r="J10" s="50">
        <v>9</v>
      </c>
      <c r="K10" s="50">
        <v>80</v>
      </c>
      <c r="L10" s="50">
        <v>6.5</v>
      </c>
      <c r="M10" s="50">
        <v>650</v>
      </c>
      <c r="N10" s="50">
        <v>140</v>
      </c>
      <c r="O10" s="50">
        <v>0.8</v>
      </c>
      <c r="P10" s="50">
        <v>1.1000000000000001</v>
      </c>
      <c r="Q10" s="50">
        <v>1.3</v>
      </c>
      <c r="R10" s="50">
        <v>1.6</v>
      </c>
      <c r="S10" s="50">
        <v>12</v>
      </c>
      <c r="T10" s="50">
        <v>15</v>
      </c>
      <c r="U10" s="50">
        <v>250</v>
      </c>
      <c r="V10" s="50">
        <v>1.2</v>
      </c>
      <c r="W10" s="50">
        <v>1.4</v>
      </c>
      <c r="X10" s="50">
        <v>40</v>
      </c>
      <c r="Y10" s="50">
        <v>4</v>
      </c>
      <c r="Z10" s="50">
        <v>190</v>
      </c>
      <c r="AA10" s="50">
        <v>230</v>
      </c>
      <c r="AB10" s="50">
        <v>900</v>
      </c>
      <c r="AC10" s="50">
        <v>7</v>
      </c>
      <c r="AD10" s="50">
        <v>50</v>
      </c>
      <c r="AE10" s="50">
        <v>75</v>
      </c>
      <c r="AF10" s="50">
        <v>90</v>
      </c>
      <c r="AG10" s="54">
        <v>2800</v>
      </c>
      <c r="AH10" s="50">
        <v>2400</v>
      </c>
      <c r="AI10" s="50">
        <v>850</v>
      </c>
      <c r="AJ10" s="50">
        <v>1000</v>
      </c>
      <c r="AK10" s="50"/>
      <c r="AL10" s="50">
        <v>250</v>
      </c>
      <c r="AM10" s="50">
        <v>290</v>
      </c>
      <c r="AN10" s="50">
        <v>1200</v>
      </c>
      <c r="AO10" s="50"/>
      <c r="AP10" s="50">
        <v>7.5</v>
      </c>
      <c r="AQ10" s="50">
        <v>9</v>
      </c>
      <c r="AR10" s="50">
        <v>7</v>
      </c>
      <c r="AS10" s="50">
        <v>8.5</v>
      </c>
      <c r="AT10" s="50"/>
      <c r="AU10" s="50">
        <v>0.7</v>
      </c>
      <c r="AV10" s="50">
        <v>0.8</v>
      </c>
      <c r="AW10" s="50"/>
      <c r="AX10" s="50">
        <v>3.5</v>
      </c>
      <c r="AY10" s="50"/>
      <c r="AZ10" s="50">
        <v>100</v>
      </c>
      <c r="BA10" s="50">
        <v>140</v>
      </c>
      <c r="BB10" s="50">
        <v>2500</v>
      </c>
      <c r="BC10" s="50">
        <v>25</v>
      </c>
      <c r="BD10" s="50">
        <v>30</v>
      </c>
      <c r="BE10" s="50">
        <v>350</v>
      </c>
      <c r="BF10" s="50"/>
      <c r="BG10" s="50"/>
      <c r="BH10" s="50">
        <v>20</v>
      </c>
      <c r="BI10" s="50">
        <v>25</v>
      </c>
      <c r="BJ10" s="50"/>
      <c r="BK10" s="53">
        <v>2400</v>
      </c>
      <c r="BL10" s="51">
        <v>45</v>
      </c>
      <c r="BM10" s="51">
        <v>55</v>
      </c>
      <c r="BN10" s="52">
        <v>72</v>
      </c>
      <c r="BO10" s="52">
        <v>360</v>
      </c>
      <c r="BP10" s="50">
        <v>500</v>
      </c>
      <c r="BQ10" s="50">
        <v>700</v>
      </c>
      <c r="BR10" s="50">
        <v>2100</v>
      </c>
      <c r="BS10" s="50">
        <v>9</v>
      </c>
      <c r="BT10" s="50">
        <v>80</v>
      </c>
      <c r="BU10" s="50">
        <v>6</v>
      </c>
      <c r="BV10" s="50">
        <v>600</v>
      </c>
      <c r="BW10" s="50">
        <v>150</v>
      </c>
      <c r="BX10" s="50">
        <v>0.7</v>
      </c>
      <c r="BY10" s="50">
        <v>1</v>
      </c>
      <c r="BZ10" s="50">
        <v>1.2</v>
      </c>
      <c r="CA10" s="50">
        <v>1.4</v>
      </c>
      <c r="CB10" s="50">
        <v>12</v>
      </c>
      <c r="CC10" s="50">
        <v>14</v>
      </c>
      <c r="CD10" s="50">
        <v>250</v>
      </c>
      <c r="CE10" s="50">
        <v>1.1000000000000001</v>
      </c>
      <c r="CF10" s="50">
        <v>1.3</v>
      </c>
      <c r="CG10" s="50">
        <v>40</v>
      </c>
      <c r="CH10" s="50">
        <v>4</v>
      </c>
      <c r="CI10" s="50">
        <v>190</v>
      </c>
      <c r="CJ10" s="50">
        <v>230</v>
      </c>
      <c r="CK10" s="50">
        <v>900</v>
      </c>
      <c r="CL10" s="50">
        <v>6</v>
      </c>
      <c r="CM10" s="50">
        <v>50</v>
      </c>
      <c r="CN10" s="50">
        <v>75</v>
      </c>
      <c r="CO10" s="50">
        <v>90</v>
      </c>
      <c r="CP10" s="54">
        <v>2600</v>
      </c>
      <c r="CQ10" s="50">
        <v>700</v>
      </c>
      <c r="CR10" s="50">
        <v>800</v>
      </c>
      <c r="CS10" s="50"/>
      <c r="CT10" s="50">
        <v>240</v>
      </c>
      <c r="CU10" s="50">
        <v>290</v>
      </c>
      <c r="CV10" s="50">
        <v>1100</v>
      </c>
      <c r="CW10" s="50"/>
      <c r="CX10" s="50">
        <v>6.5</v>
      </c>
      <c r="CY10" s="50">
        <v>8</v>
      </c>
      <c r="CZ10" s="50">
        <v>6.5</v>
      </c>
      <c r="DA10" s="50">
        <v>8.5</v>
      </c>
      <c r="DB10" s="50"/>
      <c r="DC10" s="50">
        <v>0.6</v>
      </c>
      <c r="DD10" s="50">
        <v>0.8</v>
      </c>
      <c r="DE10" s="50"/>
      <c r="DF10" s="50">
        <v>3</v>
      </c>
      <c r="DG10" s="50"/>
      <c r="DH10" s="50">
        <v>100</v>
      </c>
      <c r="DI10" s="50">
        <v>140</v>
      </c>
      <c r="DJ10" s="50">
        <v>2500</v>
      </c>
      <c r="DK10" s="50">
        <v>25</v>
      </c>
      <c r="DL10" s="50">
        <v>30</v>
      </c>
      <c r="DM10" s="50">
        <v>300</v>
      </c>
      <c r="DN10" s="50"/>
      <c r="DO10" s="50"/>
      <c r="DP10" s="50">
        <v>20</v>
      </c>
      <c r="DQ10" s="50">
        <v>25</v>
      </c>
      <c r="DR10" s="50"/>
    </row>
    <row r="11" spans="1:122">
      <c r="A11" s="47" t="s">
        <v>162</v>
      </c>
      <c r="B11" s="53">
        <v>2800</v>
      </c>
      <c r="C11" s="51">
        <v>50</v>
      </c>
      <c r="D11" s="51">
        <v>65</v>
      </c>
      <c r="E11" s="52">
        <v>84</v>
      </c>
      <c r="F11" s="52">
        <v>420</v>
      </c>
      <c r="G11" s="50">
        <v>650</v>
      </c>
      <c r="H11" s="50">
        <v>900</v>
      </c>
      <c r="I11" s="50">
        <v>2600</v>
      </c>
      <c r="J11" s="50">
        <v>9</v>
      </c>
      <c r="K11" s="50">
        <v>90</v>
      </c>
      <c r="L11" s="50">
        <v>7</v>
      </c>
      <c r="M11" s="50">
        <v>750</v>
      </c>
      <c r="N11" s="50">
        <v>150</v>
      </c>
      <c r="O11" s="50">
        <v>0.9</v>
      </c>
      <c r="P11" s="50">
        <v>1.2</v>
      </c>
      <c r="Q11" s="50">
        <v>1.4</v>
      </c>
      <c r="R11" s="50">
        <v>1.7</v>
      </c>
      <c r="S11" s="50">
        <v>14</v>
      </c>
      <c r="T11" s="50">
        <v>16</v>
      </c>
      <c r="U11" s="50">
        <v>300</v>
      </c>
      <c r="V11" s="50">
        <v>1.2</v>
      </c>
      <c r="W11" s="50">
        <v>1.5</v>
      </c>
      <c r="X11" s="50">
        <v>50</v>
      </c>
      <c r="Y11" s="50">
        <v>4</v>
      </c>
      <c r="Z11" s="50">
        <v>200</v>
      </c>
      <c r="AA11" s="50">
        <v>240</v>
      </c>
      <c r="AB11" s="50">
        <v>900</v>
      </c>
      <c r="AC11" s="50">
        <v>7</v>
      </c>
      <c r="AD11" s="50">
        <v>50</v>
      </c>
      <c r="AE11" s="50">
        <v>80</v>
      </c>
      <c r="AF11" s="50">
        <v>100</v>
      </c>
      <c r="AG11" s="54">
        <v>3000</v>
      </c>
      <c r="AH11" s="50">
        <v>2800</v>
      </c>
      <c r="AI11" s="50">
        <v>650</v>
      </c>
      <c r="AJ11" s="50">
        <v>800</v>
      </c>
      <c r="AK11" s="50"/>
      <c r="AL11" s="50">
        <v>300</v>
      </c>
      <c r="AM11" s="50">
        <v>360</v>
      </c>
      <c r="AN11" s="50">
        <v>1200</v>
      </c>
      <c r="AO11" s="50"/>
      <c r="AP11" s="50">
        <v>7.5</v>
      </c>
      <c r="AQ11" s="50">
        <v>9</v>
      </c>
      <c r="AR11" s="50">
        <v>8.5</v>
      </c>
      <c r="AS11" s="50">
        <v>10</v>
      </c>
      <c r="AT11" s="50"/>
      <c r="AU11" s="50">
        <v>0.8</v>
      </c>
      <c r="AV11" s="50">
        <v>0.9</v>
      </c>
      <c r="AW11" s="50"/>
      <c r="AX11" s="50">
        <v>3.5</v>
      </c>
      <c r="AY11" s="50"/>
      <c r="AZ11" s="50">
        <v>100</v>
      </c>
      <c r="BA11" s="50">
        <v>140</v>
      </c>
      <c r="BB11" s="50">
        <v>3000</v>
      </c>
      <c r="BC11" s="50">
        <v>30</v>
      </c>
      <c r="BD11" s="50">
        <v>35</v>
      </c>
      <c r="BE11" s="50">
        <v>400</v>
      </c>
      <c r="BF11" s="50"/>
      <c r="BG11" s="50"/>
      <c r="BH11" s="50">
        <v>25</v>
      </c>
      <c r="BI11" s="50">
        <v>30</v>
      </c>
      <c r="BJ11" s="50"/>
      <c r="BK11" s="53">
        <v>2300</v>
      </c>
      <c r="BL11" s="51">
        <v>45</v>
      </c>
      <c r="BM11" s="51">
        <v>55</v>
      </c>
      <c r="BN11" s="52">
        <v>69</v>
      </c>
      <c r="BO11" s="52">
        <v>345</v>
      </c>
      <c r="BP11" s="50">
        <v>500</v>
      </c>
      <c r="BQ11" s="50">
        <v>650</v>
      </c>
      <c r="BR11" s="50">
        <v>2600</v>
      </c>
      <c r="BS11" s="50">
        <v>9</v>
      </c>
      <c r="BT11" s="50">
        <v>90</v>
      </c>
      <c r="BU11" s="50">
        <v>6</v>
      </c>
      <c r="BV11" s="50">
        <v>650</v>
      </c>
      <c r="BW11" s="50">
        <v>150</v>
      </c>
      <c r="BX11" s="50">
        <v>0.7</v>
      </c>
      <c r="BY11" s="50">
        <v>1</v>
      </c>
      <c r="BZ11" s="50">
        <v>1.2</v>
      </c>
      <c r="CA11" s="50">
        <v>1.4</v>
      </c>
      <c r="CB11" s="50">
        <v>11</v>
      </c>
      <c r="CC11" s="50">
        <v>13</v>
      </c>
      <c r="CD11" s="50">
        <v>250</v>
      </c>
      <c r="CE11" s="50">
        <v>1.1000000000000001</v>
      </c>
      <c r="CF11" s="50">
        <v>1.3</v>
      </c>
      <c r="CG11" s="50">
        <v>45</v>
      </c>
      <c r="CH11" s="50">
        <v>4</v>
      </c>
      <c r="CI11" s="50">
        <v>200</v>
      </c>
      <c r="CJ11" s="50">
        <v>240</v>
      </c>
      <c r="CK11" s="50">
        <v>900</v>
      </c>
      <c r="CL11" s="50">
        <v>6</v>
      </c>
      <c r="CM11" s="50">
        <v>50</v>
      </c>
      <c r="CN11" s="50">
        <v>80</v>
      </c>
      <c r="CO11" s="50">
        <v>100</v>
      </c>
      <c r="CP11" s="54">
        <v>2600</v>
      </c>
      <c r="CQ11" s="50">
        <v>550</v>
      </c>
      <c r="CR11" s="50">
        <v>650</v>
      </c>
      <c r="CS11" s="50"/>
      <c r="CT11" s="50">
        <v>260</v>
      </c>
      <c r="CU11" s="50">
        <v>310</v>
      </c>
      <c r="CV11" s="50">
        <v>1000</v>
      </c>
      <c r="CW11" s="50"/>
      <c r="CX11" s="50">
        <v>5.5</v>
      </c>
      <c r="CY11" s="50">
        <v>6.5</v>
      </c>
      <c r="CZ11" s="50">
        <v>6</v>
      </c>
      <c r="DA11" s="50">
        <v>8</v>
      </c>
      <c r="DB11" s="50"/>
      <c r="DC11" s="50">
        <v>0.6</v>
      </c>
      <c r="DD11" s="50">
        <v>0.7</v>
      </c>
      <c r="DE11" s="50"/>
      <c r="DF11" s="50">
        <v>3</v>
      </c>
      <c r="DG11" s="50"/>
      <c r="DH11" s="50">
        <v>100</v>
      </c>
      <c r="DI11" s="50">
        <v>140</v>
      </c>
      <c r="DJ11" s="50">
        <v>3000</v>
      </c>
      <c r="DK11" s="50">
        <v>20</v>
      </c>
      <c r="DL11" s="50">
        <v>25</v>
      </c>
      <c r="DM11" s="50">
        <v>350</v>
      </c>
      <c r="DN11" s="50"/>
      <c r="DO11" s="50"/>
      <c r="DP11" s="50">
        <v>20</v>
      </c>
      <c r="DQ11" s="50">
        <v>25</v>
      </c>
      <c r="DR11" s="50"/>
    </row>
    <row r="12" spans="1:122">
      <c r="A12" s="47" t="s">
        <v>163</v>
      </c>
      <c r="B12" s="53">
        <v>2650</v>
      </c>
      <c r="C12" s="51">
        <v>50</v>
      </c>
      <c r="D12" s="51">
        <v>65</v>
      </c>
      <c r="E12" s="52">
        <v>79.5</v>
      </c>
      <c r="F12" s="52">
        <v>397.5</v>
      </c>
      <c r="G12" s="50">
        <v>600</v>
      </c>
      <c r="H12" s="50">
        <v>850</v>
      </c>
      <c r="I12" s="50">
        <v>2700</v>
      </c>
      <c r="J12" s="50">
        <v>9</v>
      </c>
      <c r="K12" s="50">
        <v>100</v>
      </c>
      <c r="L12" s="50">
        <v>6.5</v>
      </c>
      <c r="M12" s="50">
        <v>800</v>
      </c>
      <c r="N12" s="50">
        <v>150</v>
      </c>
      <c r="O12" s="50">
        <v>0.8</v>
      </c>
      <c r="P12" s="50">
        <v>1.1000000000000001</v>
      </c>
      <c r="Q12" s="50">
        <v>1.3</v>
      </c>
      <c r="R12" s="50">
        <v>1.6</v>
      </c>
      <c r="S12" s="50">
        <v>13</v>
      </c>
      <c r="T12" s="50">
        <v>15</v>
      </c>
      <c r="U12" s="50">
        <v>300</v>
      </c>
      <c r="V12" s="50">
        <v>1.2</v>
      </c>
      <c r="W12" s="50">
        <v>1.5</v>
      </c>
      <c r="X12" s="50">
        <v>55</v>
      </c>
      <c r="Y12" s="50">
        <v>4</v>
      </c>
      <c r="Z12" s="50">
        <v>200</v>
      </c>
      <c r="AA12" s="50">
        <v>240</v>
      </c>
      <c r="AB12" s="50">
        <v>900</v>
      </c>
      <c r="AC12" s="50">
        <v>6</v>
      </c>
      <c r="AD12" s="50">
        <v>50</v>
      </c>
      <c r="AE12" s="50">
        <v>80</v>
      </c>
      <c r="AF12" s="50">
        <v>100</v>
      </c>
      <c r="AG12" s="54">
        <v>3000</v>
      </c>
      <c r="AH12" s="50">
        <v>2500</v>
      </c>
      <c r="AI12" s="50">
        <v>650</v>
      </c>
      <c r="AJ12" s="50">
        <v>800</v>
      </c>
      <c r="AK12" s="50">
        <v>2500</v>
      </c>
      <c r="AL12" s="50">
        <v>280</v>
      </c>
      <c r="AM12" s="50">
        <v>340</v>
      </c>
      <c r="AN12" s="50">
        <v>1000</v>
      </c>
      <c r="AO12" s="50">
        <v>3000</v>
      </c>
      <c r="AP12" s="50">
        <v>5.5</v>
      </c>
      <c r="AQ12" s="50">
        <v>7</v>
      </c>
      <c r="AR12" s="50">
        <v>7.5</v>
      </c>
      <c r="AS12" s="50">
        <v>9</v>
      </c>
      <c r="AT12" s="50">
        <v>40</v>
      </c>
      <c r="AU12" s="50">
        <v>0.7</v>
      </c>
      <c r="AV12" s="50">
        <v>0.8</v>
      </c>
      <c r="AW12" s="50">
        <v>7</v>
      </c>
      <c r="AX12" s="50">
        <v>3.5</v>
      </c>
      <c r="AY12" s="50">
        <v>11</v>
      </c>
      <c r="AZ12" s="50">
        <v>100</v>
      </c>
      <c r="BA12" s="50">
        <v>140</v>
      </c>
      <c r="BB12" s="50">
        <v>3000</v>
      </c>
      <c r="BC12" s="50">
        <v>25</v>
      </c>
      <c r="BD12" s="50">
        <v>30</v>
      </c>
      <c r="BE12" s="50">
        <v>400</v>
      </c>
      <c r="BF12" s="50">
        <v>10</v>
      </c>
      <c r="BG12" s="50">
        <v>500</v>
      </c>
      <c r="BH12" s="50">
        <v>20</v>
      </c>
      <c r="BI12" s="50">
        <v>30</v>
      </c>
      <c r="BJ12" s="50">
        <v>600</v>
      </c>
      <c r="BK12" s="53">
        <v>2000</v>
      </c>
      <c r="BL12" s="51">
        <v>40</v>
      </c>
      <c r="BM12" s="51">
        <v>50</v>
      </c>
      <c r="BN12" s="52">
        <v>60</v>
      </c>
      <c r="BO12" s="52">
        <v>300</v>
      </c>
      <c r="BP12" s="50">
        <v>450</v>
      </c>
      <c r="BQ12" s="50">
        <v>650</v>
      </c>
      <c r="BR12" s="50">
        <v>2700</v>
      </c>
      <c r="BS12" s="50">
        <v>9</v>
      </c>
      <c r="BT12" s="50">
        <v>100</v>
      </c>
      <c r="BU12" s="50">
        <v>5</v>
      </c>
      <c r="BV12" s="50">
        <v>650</v>
      </c>
      <c r="BW12" s="50">
        <v>150</v>
      </c>
      <c r="BX12" s="50">
        <v>0.6</v>
      </c>
      <c r="BY12" s="50">
        <v>0.8</v>
      </c>
      <c r="BZ12" s="50">
        <v>1</v>
      </c>
      <c r="CA12" s="50">
        <v>1.2</v>
      </c>
      <c r="CB12" s="50">
        <v>9</v>
      </c>
      <c r="CC12" s="50">
        <v>11</v>
      </c>
      <c r="CD12" s="50">
        <v>250</v>
      </c>
      <c r="CE12" s="50">
        <v>1</v>
      </c>
      <c r="CF12" s="50">
        <v>1.2</v>
      </c>
      <c r="CG12" s="50">
        <v>45</v>
      </c>
      <c r="CH12" s="50">
        <v>4</v>
      </c>
      <c r="CI12" s="50">
        <v>200</v>
      </c>
      <c r="CJ12" s="50">
        <v>240</v>
      </c>
      <c r="CK12" s="50">
        <v>900</v>
      </c>
      <c r="CL12" s="50">
        <v>5</v>
      </c>
      <c r="CM12" s="50">
        <v>50</v>
      </c>
      <c r="CN12" s="50">
        <v>80</v>
      </c>
      <c r="CO12" s="50">
        <v>100</v>
      </c>
      <c r="CP12" s="54">
        <v>2600</v>
      </c>
      <c r="CQ12" s="50">
        <v>550</v>
      </c>
      <c r="CR12" s="50">
        <v>650</v>
      </c>
      <c r="CS12" s="50">
        <v>2500</v>
      </c>
      <c r="CT12" s="50">
        <v>230</v>
      </c>
      <c r="CU12" s="50">
        <v>280</v>
      </c>
      <c r="CV12" s="50">
        <v>800</v>
      </c>
      <c r="CW12" s="50">
        <v>3000</v>
      </c>
      <c r="CX12" s="50">
        <v>5</v>
      </c>
      <c r="CY12" s="50">
        <v>6</v>
      </c>
      <c r="CZ12" s="50">
        <v>6</v>
      </c>
      <c r="DA12" s="50">
        <v>7.5</v>
      </c>
      <c r="DB12" s="50">
        <v>35</v>
      </c>
      <c r="DC12" s="50">
        <v>0.6</v>
      </c>
      <c r="DD12" s="50">
        <v>0.7</v>
      </c>
      <c r="DE12" s="50">
        <v>7</v>
      </c>
      <c r="DF12" s="50">
        <v>3</v>
      </c>
      <c r="DG12" s="50">
        <v>11</v>
      </c>
      <c r="DH12" s="50">
        <v>100</v>
      </c>
      <c r="DI12" s="50">
        <v>140</v>
      </c>
      <c r="DJ12" s="50">
        <v>3000</v>
      </c>
      <c r="DK12" s="50">
        <v>20</v>
      </c>
      <c r="DL12" s="50">
        <v>25</v>
      </c>
      <c r="DM12" s="50">
        <v>350</v>
      </c>
      <c r="DN12" s="50">
        <v>10</v>
      </c>
      <c r="DO12" s="50">
        <v>500</v>
      </c>
      <c r="DP12" s="50">
        <v>20</v>
      </c>
      <c r="DQ12" s="50">
        <v>25</v>
      </c>
      <c r="DR12" s="50">
        <v>500</v>
      </c>
    </row>
    <row r="13" spans="1:122">
      <c r="A13" s="47" t="s">
        <v>164</v>
      </c>
      <c r="B13" s="53">
        <v>2700</v>
      </c>
      <c r="C13" s="51">
        <v>50</v>
      </c>
      <c r="D13" s="51">
        <v>65</v>
      </c>
      <c r="E13" s="52">
        <v>81</v>
      </c>
      <c r="F13" s="52">
        <v>405</v>
      </c>
      <c r="G13" s="50">
        <v>650</v>
      </c>
      <c r="H13" s="50">
        <v>900</v>
      </c>
      <c r="I13" s="50">
        <v>2700</v>
      </c>
      <c r="J13" s="50">
        <v>9</v>
      </c>
      <c r="K13" s="50">
        <v>100</v>
      </c>
      <c r="L13" s="50">
        <v>6.5</v>
      </c>
      <c r="M13" s="50">
        <v>800</v>
      </c>
      <c r="N13" s="50">
        <v>150</v>
      </c>
      <c r="O13" s="50">
        <v>0.8</v>
      </c>
      <c r="P13" s="50">
        <v>1.2</v>
      </c>
      <c r="Q13" s="50">
        <v>1.4</v>
      </c>
      <c r="R13" s="50">
        <v>1.7</v>
      </c>
      <c r="S13" s="50">
        <v>13</v>
      </c>
      <c r="T13" s="50">
        <v>16</v>
      </c>
      <c r="U13" s="50">
        <v>350</v>
      </c>
      <c r="V13" s="50">
        <v>1.2</v>
      </c>
      <c r="W13" s="50">
        <v>1.5</v>
      </c>
      <c r="X13" s="50">
        <v>60</v>
      </c>
      <c r="Y13" s="50">
        <v>4</v>
      </c>
      <c r="Z13" s="50">
        <v>200</v>
      </c>
      <c r="AA13" s="50">
        <v>240</v>
      </c>
      <c r="AB13" s="50">
        <v>1000</v>
      </c>
      <c r="AC13" s="50">
        <v>6</v>
      </c>
      <c r="AD13" s="50">
        <v>50</v>
      </c>
      <c r="AE13" s="50">
        <v>80</v>
      </c>
      <c r="AF13" s="50">
        <v>100</v>
      </c>
      <c r="AG13" s="54">
        <v>3000</v>
      </c>
      <c r="AH13" s="50">
        <v>2500</v>
      </c>
      <c r="AI13" s="50">
        <v>650</v>
      </c>
      <c r="AJ13" s="50">
        <v>750</v>
      </c>
      <c r="AK13" s="50">
        <v>2500</v>
      </c>
      <c r="AL13" s="50">
        <v>320</v>
      </c>
      <c r="AM13" s="50">
        <v>380</v>
      </c>
      <c r="AN13" s="50">
        <v>1000</v>
      </c>
      <c r="AO13" s="50">
        <v>3000</v>
      </c>
      <c r="AP13" s="50">
        <v>6</v>
      </c>
      <c r="AQ13" s="50">
        <v>7.5</v>
      </c>
      <c r="AR13" s="50">
        <v>8</v>
      </c>
      <c r="AS13" s="50">
        <v>9.5</v>
      </c>
      <c r="AT13" s="50">
        <v>45</v>
      </c>
      <c r="AU13" s="50">
        <v>0.8</v>
      </c>
      <c r="AV13" s="50">
        <v>0.9</v>
      </c>
      <c r="AW13" s="50">
        <v>7</v>
      </c>
      <c r="AX13" s="50">
        <v>3.5</v>
      </c>
      <c r="AY13" s="50">
        <v>11</v>
      </c>
      <c r="AZ13" s="50">
        <v>100</v>
      </c>
      <c r="BA13" s="50">
        <v>140</v>
      </c>
      <c r="BB13" s="50">
        <v>3000</v>
      </c>
      <c r="BC13" s="50">
        <v>25</v>
      </c>
      <c r="BD13" s="50">
        <v>35</v>
      </c>
      <c r="BE13" s="50">
        <v>450</v>
      </c>
      <c r="BF13" s="50">
        <v>10</v>
      </c>
      <c r="BG13" s="50">
        <v>500</v>
      </c>
      <c r="BH13" s="50">
        <v>25</v>
      </c>
      <c r="BI13" s="50">
        <v>30</v>
      </c>
      <c r="BJ13" s="50">
        <v>600</v>
      </c>
      <c r="BK13" s="53">
        <v>2050</v>
      </c>
      <c r="BL13" s="51">
        <v>40</v>
      </c>
      <c r="BM13" s="51">
        <v>50</v>
      </c>
      <c r="BN13" s="52">
        <v>61.5</v>
      </c>
      <c r="BO13" s="52">
        <v>307.5</v>
      </c>
      <c r="BP13" s="50">
        <v>500</v>
      </c>
      <c r="BQ13" s="50">
        <v>700</v>
      </c>
      <c r="BR13" s="50">
        <v>2700</v>
      </c>
      <c r="BS13" s="50">
        <v>9</v>
      </c>
      <c r="BT13" s="50">
        <v>100</v>
      </c>
      <c r="BU13" s="50">
        <v>6</v>
      </c>
      <c r="BV13" s="50">
        <v>700</v>
      </c>
      <c r="BW13" s="50">
        <v>150</v>
      </c>
      <c r="BX13" s="50">
        <v>0.6</v>
      </c>
      <c r="BY13" s="50">
        <v>0.9</v>
      </c>
      <c r="BZ13" s="50">
        <v>1</v>
      </c>
      <c r="CA13" s="50">
        <v>1.2</v>
      </c>
      <c r="CB13" s="50">
        <v>10</v>
      </c>
      <c r="CC13" s="50">
        <v>12</v>
      </c>
      <c r="CD13" s="50">
        <v>250</v>
      </c>
      <c r="CE13" s="50">
        <v>1</v>
      </c>
      <c r="CF13" s="50">
        <v>1.2</v>
      </c>
      <c r="CG13" s="50">
        <v>45</v>
      </c>
      <c r="CH13" s="50">
        <v>4</v>
      </c>
      <c r="CI13" s="50">
        <v>200</v>
      </c>
      <c r="CJ13" s="50">
        <v>240</v>
      </c>
      <c r="CK13" s="50">
        <v>1000</v>
      </c>
      <c r="CL13" s="50">
        <v>5</v>
      </c>
      <c r="CM13" s="50">
        <v>50</v>
      </c>
      <c r="CN13" s="50">
        <v>80</v>
      </c>
      <c r="CO13" s="50">
        <v>100</v>
      </c>
      <c r="CP13" s="54">
        <v>2600</v>
      </c>
      <c r="CQ13" s="50">
        <v>550</v>
      </c>
      <c r="CR13" s="50">
        <v>650</v>
      </c>
      <c r="CS13" s="50">
        <v>2500</v>
      </c>
      <c r="CT13" s="50">
        <v>240</v>
      </c>
      <c r="CU13" s="50">
        <v>290</v>
      </c>
      <c r="CV13" s="50">
        <v>800</v>
      </c>
      <c r="CW13" s="50">
        <v>3000</v>
      </c>
      <c r="CX13" s="50">
        <v>5</v>
      </c>
      <c r="CY13" s="50">
        <v>6</v>
      </c>
      <c r="CZ13" s="50">
        <v>6.5</v>
      </c>
      <c r="DA13" s="50">
        <v>8</v>
      </c>
      <c r="DB13" s="50">
        <v>35</v>
      </c>
      <c r="DC13" s="50">
        <v>0.6</v>
      </c>
      <c r="DD13" s="50">
        <v>0.7</v>
      </c>
      <c r="DE13" s="50">
        <v>7</v>
      </c>
      <c r="DF13" s="50">
        <v>3</v>
      </c>
      <c r="DG13" s="50">
        <v>11</v>
      </c>
      <c r="DH13" s="50">
        <v>100</v>
      </c>
      <c r="DI13" s="50">
        <v>140</v>
      </c>
      <c r="DJ13" s="50">
        <v>3000</v>
      </c>
      <c r="DK13" s="50">
        <v>20</v>
      </c>
      <c r="DL13" s="50">
        <v>25</v>
      </c>
      <c r="DM13" s="50">
        <v>350</v>
      </c>
      <c r="DN13" s="50">
        <v>10</v>
      </c>
      <c r="DO13" s="50">
        <v>500</v>
      </c>
      <c r="DP13" s="50">
        <v>20</v>
      </c>
      <c r="DQ13" s="50">
        <v>25</v>
      </c>
      <c r="DR13" s="50">
        <v>500</v>
      </c>
    </row>
    <row r="14" spans="1:122">
      <c r="A14" s="47" t="s">
        <v>165</v>
      </c>
      <c r="B14" s="53">
        <v>2600</v>
      </c>
      <c r="C14" s="51">
        <v>50</v>
      </c>
      <c r="D14" s="51">
        <v>65</v>
      </c>
      <c r="E14" s="52">
        <v>78</v>
      </c>
      <c r="F14" s="52">
        <v>390</v>
      </c>
      <c r="G14" s="50">
        <v>650</v>
      </c>
      <c r="H14" s="50">
        <v>900</v>
      </c>
      <c r="I14" s="50">
        <v>2700</v>
      </c>
      <c r="J14" s="50">
        <v>9</v>
      </c>
      <c r="K14" s="50">
        <v>100</v>
      </c>
      <c r="L14" s="50">
        <v>6.5</v>
      </c>
      <c r="M14" s="50">
        <v>800</v>
      </c>
      <c r="N14" s="50">
        <v>150</v>
      </c>
      <c r="O14" s="50">
        <v>0.8</v>
      </c>
      <c r="P14" s="50">
        <v>1.1000000000000001</v>
      </c>
      <c r="Q14" s="50">
        <v>1.3</v>
      </c>
      <c r="R14" s="50">
        <v>1.6</v>
      </c>
      <c r="S14" s="50">
        <v>13</v>
      </c>
      <c r="T14" s="50">
        <v>15</v>
      </c>
      <c r="U14" s="50">
        <v>350</v>
      </c>
      <c r="V14" s="50">
        <v>1.2</v>
      </c>
      <c r="W14" s="50">
        <v>1.5</v>
      </c>
      <c r="X14" s="50">
        <v>60</v>
      </c>
      <c r="Y14" s="50">
        <v>4</v>
      </c>
      <c r="Z14" s="50">
        <v>200</v>
      </c>
      <c r="AA14" s="50">
        <v>240</v>
      </c>
      <c r="AB14" s="50">
        <v>1000</v>
      </c>
      <c r="AC14" s="50">
        <v>6</v>
      </c>
      <c r="AD14" s="50">
        <v>50</v>
      </c>
      <c r="AE14" s="50">
        <v>80</v>
      </c>
      <c r="AF14" s="50">
        <v>100</v>
      </c>
      <c r="AG14" s="54">
        <v>3000</v>
      </c>
      <c r="AH14" s="50">
        <v>2500</v>
      </c>
      <c r="AI14" s="50">
        <v>600</v>
      </c>
      <c r="AJ14" s="50">
        <v>750</v>
      </c>
      <c r="AK14" s="50">
        <v>2500</v>
      </c>
      <c r="AL14" s="50">
        <v>310</v>
      </c>
      <c r="AM14" s="50">
        <v>370</v>
      </c>
      <c r="AN14" s="50">
        <v>1000</v>
      </c>
      <c r="AO14" s="50">
        <v>3000</v>
      </c>
      <c r="AP14" s="50">
        <v>6</v>
      </c>
      <c r="AQ14" s="50">
        <v>7</v>
      </c>
      <c r="AR14" s="50">
        <v>8</v>
      </c>
      <c r="AS14" s="50">
        <v>9.5</v>
      </c>
      <c r="AT14" s="50">
        <v>45</v>
      </c>
      <c r="AU14" s="50">
        <v>0.7</v>
      </c>
      <c r="AV14" s="50">
        <v>0.9</v>
      </c>
      <c r="AW14" s="50">
        <v>7</v>
      </c>
      <c r="AX14" s="50">
        <v>3.5</v>
      </c>
      <c r="AY14" s="50">
        <v>11</v>
      </c>
      <c r="AZ14" s="50">
        <v>100</v>
      </c>
      <c r="BA14" s="50">
        <v>140</v>
      </c>
      <c r="BB14" s="50">
        <v>3000</v>
      </c>
      <c r="BC14" s="50">
        <v>25</v>
      </c>
      <c r="BD14" s="50">
        <v>30</v>
      </c>
      <c r="BE14" s="50">
        <v>450</v>
      </c>
      <c r="BF14" s="50">
        <v>10</v>
      </c>
      <c r="BG14" s="50">
        <v>500</v>
      </c>
      <c r="BH14" s="50">
        <v>25</v>
      </c>
      <c r="BI14" s="50">
        <v>30</v>
      </c>
      <c r="BJ14" s="50">
        <v>600</v>
      </c>
      <c r="BK14" s="53">
        <v>1950</v>
      </c>
      <c r="BL14" s="51">
        <v>40</v>
      </c>
      <c r="BM14" s="51">
        <v>50</v>
      </c>
      <c r="BN14" s="52">
        <v>58.5</v>
      </c>
      <c r="BO14" s="52">
        <v>292.5</v>
      </c>
      <c r="BP14" s="50">
        <v>500</v>
      </c>
      <c r="BQ14" s="50">
        <v>700</v>
      </c>
      <c r="BR14" s="50">
        <v>2700</v>
      </c>
      <c r="BS14" s="50">
        <v>9</v>
      </c>
      <c r="BT14" s="50">
        <v>100</v>
      </c>
      <c r="BU14" s="50">
        <v>6</v>
      </c>
      <c r="BV14" s="50">
        <v>700</v>
      </c>
      <c r="BW14" s="50">
        <v>150</v>
      </c>
      <c r="BX14" s="50">
        <v>0.6</v>
      </c>
      <c r="BY14" s="50">
        <v>0.8</v>
      </c>
      <c r="BZ14" s="50">
        <v>1</v>
      </c>
      <c r="CA14" s="50">
        <v>1.2</v>
      </c>
      <c r="CB14" s="50">
        <v>9</v>
      </c>
      <c r="CC14" s="50">
        <v>11</v>
      </c>
      <c r="CD14" s="50">
        <v>250</v>
      </c>
      <c r="CE14" s="50">
        <v>1</v>
      </c>
      <c r="CF14" s="50">
        <v>1.2</v>
      </c>
      <c r="CG14" s="50">
        <v>45</v>
      </c>
      <c r="CH14" s="50">
        <v>4</v>
      </c>
      <c r="CI14" s="50">
        <v>200</v>
      </c>
      <c r="CJ14" s="50">
        <v>240</v>
      </c>
      <c r="CK14" s="50">
        <v>1000</v>
      </c>
      <c r="CL14" s="50">
        <v>5</v>
      </c>
      <c r="CM14" s="50">
        <v>50</v>
      </c>
      <c r="CN14" s="50">
        <v>80</v>
      </c>
      <c r="CO14" s="50">
        <v>100</v>
      </c>
      <c r="CP14" s="54">
        <v>2600</v>
      </c>
      <c r="CQ14" s="50">
        <v>550</v>
      </c>
      <c r="CR14" s="50">
        <v>650</v>
      </c>
      <c r="CS14" s="50">
        <v>2500</v>
      </c>
      <c r="CT14" s="50">
        <v>240</v>
      </c>
      <c r="CU14" s="50">
        <v>290</v>
      </c>
      <c r="CV14" s="50">
        <v>800</v>
      </c>
      <c r="CW14" s="50">
        <v>3000</v>
      </c>
      <c r="CX14" s="50">
        <v>5</v>
      </c>
      <c r="CY14" s="50">
        <v>6</v>
      </c>
      <c r="CZ14" s="50">
        <v>6.5</v>
      </c>
      <c r="DA14" s="50">
        <v>8</v>
      </c>
      <c r="DB14" s="50">
        <v>35</v>
      </c>
      <c r="DC14" s="50">
        <v>0.6</v>
      </c>
      <c r="DD14" s="50">
        <v>0.7</v>
      </c>
      <c r="DE14" s="50">
        <v>7</v>
      </c>
      <c r="DF14" s="50">
        <v>3</v>
      </c>
      <c r="DG14" s="50">
        <v>11</v>
      </c>
      <c r="DH14" s="50">
        <v>100</v>
      </c>
      <c r="DI14" s="50">
        <v>140</v>
      </c>
      <c r="DJ14" s="50">
        <v>3000</v>
      </c>
      <c r="DK14" s="50">
        <v>20</v>
      </c>
      <c r="DL14" s="50">
        <v>25</v>
      </c>
      <c r="DM14" s="50">
        <v>350</v>
      </c>
      <c r="DN14" s="50">
        <v>10</v>
      </c>
      <c r="DO14" s="50">
        <v>500</v>
      </c>
      <c r="DP14" s="50">
        <v>20</v>
      </c>
      <c r="DQ14" s="50">
        <v>25</v>
      </c>
      <c r="DR14" s="50">
        <v>500</v>
      </c>
    </row>
    <row r="15" spans="1:122">
      <c r="A15" s="47" t="s">
        <v>166</v>
      </c>
      <c r="B15" s="53">
        <v>2400</v>
      </c>
      <c r="C15" s="51">
        <v>50</v>
      </c>
      <c r="D15" s="51">
        <v>60</v>
      </c>
      <c r="E15" s="52">
        <v>72</v>
      </c>
      <c r="F15" s="52">
        <v>360</v>
      </c>
      <c r="G15" s="50">
        <v>600</v>
      </c>
      <c r="H15" s="50">
        <v>850</v>
      </c>
      <c r="I15" s="50">
        <v>2700</v>
      </c>
      <c r="J15" s="50">
        <v>9</v>
      </c>
      <c r="K15" s="50">
        <v>100</v>
      </c>
      <c r="L15" s="50">
        <v>7.5</v>
      </c>
      <c r="M15" s="50">
        <v>800</v>
      </c>
      <c r="N15" s="50">
        <v>150</v>
      </c>
      <c r="O15" s="50">
        <v>0.7</v>
      </c>
      <c r="P15" s="50">
        <v>1</v>
      </c>
      <c r="Q15" s="50">
        <v>1.2</v>
      </c>
      <c r="R15" s="50">
        <v>1.4</v>
      </c>
      <c r="S15" s="50">
        <v>11</v>
      </c>
      <c r="T15" s="50">
        <v>14</v>
      </c>
      <c r="U15" s="50">
        <v>300</v>
      </c>
      <c r="V15" s="50">
        <v>1.2</v>
      </c>
      <c r="W15" s="50">
        <v>1.4</v>
      </c>
      <c r="X15" s="50">
        <v>55</v>
      </c>
      <c r="Y15" s="50">
        <v>4</v>
      </c>
      <c r="Z15" s="50">
        <v>200</v>
      </c>
      <c r="AA15" s="50">
        <v>240</v>
      </c>
      <c r="AB15" s="50">
        <v>900</v>
      </c>
      <c r="AC15" s="50">
        <v>6</v>
      </c>
      <c r="AD15" s="50">
        <v>50</v>
      </c>
      <c r="AE15" s="50">
        <v>80</v>
      </c>
      <c r="AF15" s="50">
        <v>100</v>
      </c>
      <c r="AG15" s="54">
        <v>3000</v>
      </c>
      <c r="AH15" s="50">
        <v>2500</v>
      </c>
      <c r="AI15" s="50">
        <v>600</v>
      </c>
      <c r="AJ15" s="50">
        <v>750</v>
      </c>
      <c r="AK15" s="50">
        <v>2500</v>
      </c>
      <c r="AL15" s="50">
        <v>290</v>
      </c>
      <c r="AM15" s="50">
        <v>350</v>
      </c>
      <c r="AN15" s="50">
        <v>1000</v>
      </c>
      <c r="AO15" s="50">
        <v>3000</v>
      </c>
      <c r="AP15" s="50">
        <v>5.5</v>
      </c>
      <c r="AQ15" s="50">
        <v>7</v>
      </c>
      <c r="AR15" s="50">
        <v>7.5</v>
      </c>
      <c r="AS15" s="50">
        <v>9</v>
      </c>
      <c r="AT15" s="50">
        <v>45</v>
      </c>
      <c r="AU15" s="50">
        <v>0.7</v>
      </c>
      <c r="AV15" s="50">
        <v>0.8</v>
      </c>
      <c r="AW15" s="50">
        <v>7</v>
      </c>
      <c r="AX15" s="50">
        <v>3.5</v>
      </c>
      <c r="AY15" s="50">
        <v>11</v>
      </c>
      <c r="AZ15" s="50">
        <v>100</v>
      </c>
      <c r="BA15" s="50">
        <v>140</v>
      </c>
      <c r="BB15" s="50">
        <v>3000</v>
      </c>
      <c r="BC15" s="50">
        <v>25</v>
      </c>
      <c r="BD15" s="50">
        <v>30</v>
      </c>
      <c r="BE15" s="50">
        <v>450</v>
      </c>
      <c r="BF15" s="50">
        <v>10</v>
      </c>
      <c r="BG15" s="50">
        <v>500</v>
      </c>
      <c r="BH15" s="50">
        <v>20</v>
      </c>
      <c r="BI15" s="50">
        <v>30</v>
      </c>
      <c r="BJ15" s="50">
        <v>600</v>
      </c>
      <c r="BK15" s="53">
        <v>1850</v>
      </c>
      <c r="BL15" s="51">
        <v>40</v>
      </c>
      <c r="BM15" s="51">
        <v>50</v>
      </c>
      <c r="BN15" s="52">
        <v>55.500000000000007</v>
      </c>
      <c r="BO15" s="52">
        <v>277.5</v>
      </c>
      <c r="BP15" s="50">
        <v>500</v>
      </c>
      <c r="BQ15" s="50">
        <v>700</v>
      </c>
      <c r="BR15" s="50">
        <v>2700</v>
      </c>
      <c r="BS15" s="50">
        <v>9</v>
      </c>
      <c r="BT15" s="50">
        <v>100</v>
      </c>
      <c r="BU15" s="50">
        <v>7</v>
      </c>
      <c r="BV15" s="50">
        <v>700</v>
      </c>
      <c r="BW15" s="50">
        <v>150</v>
      </c>
      <c r="BX15" s="50">
        <v>0.6</v>
      </c>
      <c r="BY15" s="50">
        <v>0.8</v>
      </c>
      <c r="BZ15" s="50">
        <v>0.9</v>
      </c>
      <c r="CA15" s="50">
        <v>1.1000000000000001</v>
      </c>
      <c r="CB15" s="50">
        <v>9</v>
      </c>
      <c r="CC15" s="50">
        <v>11</v>
      </c>
      <c r="CD15" s="50">
        <v>250</v>
      </c>
      <c r="CE15" s="50">
        <v>1</v>
      </c>
      <c r="CF15" s="50">
        <v>1.2</v>
      </c>
      <c r="CG15" s="50">
        <v>45</v>
      </c>
      <c r="CH15" s="50">
        <v>4</v>
      </c>
      <c r="CI15" s="50">
        <v>200</v>
      </c>
      <c r="CJ15" s="50">
        <v>240</v>
      </c>
      <c r="CK15" s="50">
        <v>900</v>
      </c>
      <c r="CL15" s="50">
        <v>5</v>
      </c>
      <c r="CM15" s="50">
        <v>50</v>
      </c>
      <c r="CN15" s="50">
        <v>80</v>
      </c>
      <c r="CO15" s="50">
        <v>100</v>
      </c>
      <c r="CP15" s="54">
        <v>2600</v>
      </c>
      <c r="CQ15" s="50">
        <v>550</v>
      </c>
      <c r="CR15" s="50">
        <v>650</v>
      </c>
      <c r="CS15" s="50">
        <v>2500</v>
      </c>
      <c r="CT15" s="50">
        <v>240</v>
      </c>
      <c r="CU15" s="50">
        <v>280</v>
      </c>
      <c r="CV15" s="50">
        <v>800</v>
      </c>
      <c r="CW15" s="50">
        <v>3000</v>
      </c>
      <c r="CX15" s="50">
        <v>5</v>
      </c>
      <c r="CY15" s="50">
        <v>6</v>
      </c>
      <c r="CZ15" s="50">
        <v>6.5</v>
      </c>
      <c r="DA15" s="50">
        <v>7.5</v>
      </c>
      <c r="DB15" s="50">
        <v>35</v>
      </c>
      <c r="DC15" s="50">
        <v>0.6</v>
      </c>
      <c r="DD15" s="50">
        <v>0.7</v>
      </c>
      <c r="DE15" s="50">
        <v>7</v>
      </c>
      <c r="DF15" s="50">
        <v>3</v>
      </c>
      <c r="DG15" s="50">
        <v>11</v>
      </c>
      <c r="DH15" s="50">
        <v>100</v>
      </c>
      <c r="DI15" s="50">
        <v>140</v>
      </c>
      <c r="DJ15" s="50">
        <v>3000</v>
      </c>
      <c r="DK15" s="50">
        <v>20</v>
      </c>
      <c r="DL15" s="50">
        <v>25</v>
      </c>
      <c r="DM15" s="50">
        <v>350</v>
      </c>
      <c r="DN15" s="50">
        <v>10</v>
      </c>
      <c r="DO15" s="50">
        <v>500</v>
      </c>
      <c r="DP15" s="50">
        <v>20</v>
      </c>
      <c r="DQ15" s="50">
        <v>25</v>
      </c>
      <c r="DR15" s="50">
        <v>500</v>
      </c>
    </row>
    <row r="16" spans="1:122">
      <c r="A16" s="47" t="s">
        <v>167</v>
      </c>
      <c r="B16" s="53">
        <v>2100</v>
      </c>
      <c r="C16" s="51">
        <v>50</v>
      </c>
      <c r="D16" s="51">
        <v>60</v>
      </c>
      <c r="E16" s="52">
        <v>63</v>
      </c>
      <c r="F16" s="52">
        <v>315</v>
      </c>
      <c r="G16" s="50">
        <v>550</v>
      </c>
      <c r="H16" s="50">
        <v>800</v>
      </c>
      <c r="I16" s="50">
        <v>2700</v>
      </c>
      <c r="J16" s="50">
        <v>9</v>
      </c>
      <c r="K16" s="50">
        <v>100</v>
      </c>
      <c r="L16" s="50">
        <v>7</v>
      </c>
      <c r="M16" s="50">
        <v>800</v>
      </c>
      <c r="N16" s="50">
        <v>150</v>
      </c>
      <c r="O16" s="50">
        <v>0.7</v>
      </c>
      <c r="P16" s="50">
        <v>1</v>
      </c>
      <c r="Q16" s="50">
        <v>1.1000000000000001</v>
      </c>
      <c r="R16" s="50">
        <v>1.4</v>
      </c>
      <c r="S16" s="50">
        <v>11</v>
      </c>
      <c r="T16" s="50">
        <v>13</v>
      </c>
      <c r="U16" s="50">
        <v>300</v>
      </c>
      <c r="V16" s="50">
        <v>1.2</v>
      </c>
      <c r="W16" s="50">
        <v>1.4</v>
      </c>
      <c r="X16" s="50">
        <v>50</v>
      </c>
      <c r="Y16" s="50">
        <v>4</v>
      </c>
      <c r="Z16" s="50">
        <v>200</v>
      </c>
      <c r="AA16" s="50">
        <v>240</v>
      </c>
      <c r="AB16" s="50">
        <v>900</v>
      </c>
      <c r="AC16" s="50">
        <v>6</v>
      </c>
      <c r="AD16" s="50">
        <v>50</v>
      </c>
      <c r="AE16" s="50">
        <v>80</v>
      </c>
      <c r="AF16" s="50">
        <v>100</v>
      </c>
      <c r="AG16" s="54">
        <v>3000</v>
      </c>
      <c r="AH16" s="50">
        <v>2500</v>
      </c>
      <c r="AI16" s="50">
        <v>600</v>
      </c>
      <c r="AJ16" s="50">
        <v>750</v>
      </c>
      <c r="AK16" s="50">
        <v>2500</v>
      </c>
      <c r="AL16" s="50">
        <v>270</v>
      </c>
      <c r="AM16" s="50">
        <v>330</v>
      </c>
      <c r="AN16" s="50">
        <v>1000</v>
      </c>
      <c r="AO16" s="50">
        <v>3000</v>
      </c>
      <c r="AP16" s="50">
        <v>5.5</v>
      </c>
      <c r="AQ16" s="50">
        <v>6.5</v>
      </c>
      <c r="AR16" s="50">
        <v>7.5</v>
      </c>
      <c r="AS16" s="50">
        <v>9</v>
      </c>
      <c r="AT16" s="50">
        <v>40</v>
      </c>
      <c r="AU16" s="50">
        <v>0.7</v>
      </c>
      <c r="AV16" s="50">
        <v>0.8</v>
      </c>
      <c r="AW16" s="50">
        <v>7</v>
      </c>
      <c r="AX16" s="50">
        <v>3.5</v>
      </c>
      <c r="AY16" s="50">
        <v>11</v>
      </c>
      <c r="AZ16" s="50">
        <v>100</v>
      </c>
      <c r="BA16" s="50">
        <v>140</v>
      </c>
      <c r="BB16" s="50">
        <v>3000</v>
      </c>
      <c r="BC16" s="50">
        <v>25</v>
      </c>
      <c r="BD16" s="50">
        <v>30</v>
      </c>
      <c r="BE16" s="50">
        <v>400</v>
      </c>
      <c r="BF16" s="50">
        <v>10</v>
      </c>
      <c r="BG16" s="50">
        <v>500</v>
      </c>
      <c r="BH16" s="50">
        <v>20</v>
      </c>
      <c r="BI16" s="50">
        <v>25</v>
      </c>
      <c r="BJ16" s="50">
        <v>600</v>
      </c>
      <c r="BK16" s="53">
        <v>1650</v>
      </c>
      <c r="BL16" s="51">
        <v>40</v>
      </c>
      <c r="BM16" s="51">
        <v>50</v>
      </c>
      <c r="BN16" s="52">
        <v>49.500000000000007</v>
      </c>
      <c r="BO16" s="52">
        <v>247.5</v>
      </c>
      <c r="BP16" s="50">
        <v>450</v>
      </c>
      <c r="BQ16" s="50">
        <v>650</v>
      </c>
      <c r="BR16" s="50">
        <v>2700</v>
      </c>
      <c r="BS16" s="50">
        <v>9</v>
      </c>
      <c r="BT16" s="50">
        <v>100</v>
      </c>
      <c r="BU16" s="50">
        <v>6</v>
      </c>
      <c r="BV16" s="50">
        <v>650</v>
      </c>
      <c r="BW16" s="50">
        <v>150</v>
      </c>
      <c r="BX16" s="50">
        <v>0.5</v>
      </c>
      <c r="BY16" s="50">
        <v>0.7</v>
      </c>
      <c r="BZ16" s="50">
        <v>0.9</v>
      </c>
      <c r="CA16" s="50">
        <v>1.1000000000000001</v>
      </c>
      <c r="CB16" s="50">
        <v>8</v>
      </c>
      <c r="CC16" s="50">
        <v>10</v>
      </c>
      <c r="CD16" s="50">
        <v>250</v>
      </c>
      <c r="CE16" s="50">
        <v>1</v>
      </c>
      <c r="CF16" s="50">
        <v>1.2</v>
      </c>
      <c r="CG16" s="50">
        <v>40</v>
      </c>
      <c r="CH16" s="50">
        <v>4</v>
      </c>
      <c r="CI16" s="50">
        <v>200</v>
      </c>
      <c r="CJ16" s="50">
        <v>240</v>
      </c>
      <c r="CK16" s="50">
        <v>900</v>
      </c>
      <c r="CL16" s="50">
        <v>5</v>
      </c>
      <c r="CM16" s="50">
        <v>50</v>
      </c>
      <c r="CN16" s="50">
        <v>80</v>
      </c>
      <c r="CO16" s="50">
        <v>100</v>
      </c>
      <c r="CP16" s="54">
        <v>2600</v>
      </c>
      <c r="CQ16" s="50">
        <v>500</v>
      </c>
      <c r="CR16" s="50">
        <v>600</v>
      </c>
      <c r="CS16" s="50">
        <v>2500</v>
      </c>
      <c r="CT16" s="50">
        <v>220</v>
      </c>
      <c r="CU16" s="50">
        <v>270</v>
      </c>
      <c r="CV16" s="50">
        <v>800</v>
      </c>
      <c r="CW16" s="50">
        <v>3000</v>
      </c>
      <c r="CX16" s="50">
        <v>4.5</v>
      </c>
      <c r="CY16" s="50">
        <v>5.5</v>
      </c>
      <c r="CZ16" s="50">
        <v>6</v>
      </c>
      <c r="DA16" s="50">
        <v>7</v>
      </c>
      <c r="DB16" s="50">
        <v>35</v>
      </c>
      <c r="DC16" s="50">
        <v>0.6</v>
      </c>
      <c r="DD16" s="50">
        <v>0.7</v>
      </c>
      <c r="DE16" s="50">
        <v>7</v>
      </c>
      <c r="DF16" s="50">
        <v>3</v>
      </c>
      <c r="DG16" s="50">
        <v>11</v>
      </c>
      <c r="DH16" s="50">
        <v>100</v>
      </c>
      <c r="DI16" s="50">
        <v>140</v>
      </c>
      <c r="DJ16" s="50">
        <v>3000</v>
      </c>
      <c r="DK16" s="50">
        <v>20</v>
      </c>
      <c r="DL16" s="50">
        <v>25</v>
      </c>
      <c r="DM16" s="50">
        <v>350</v>
      </c>
      <c r="DN16" s="50">
        <v>10</v>
      </c>
      <c r="DO16" s="50">
        <v>500</v>
      </c>
      <c r="DP16" s="50">
        <v>20</v>
      </c>
      <c r="DQ16" s="50">
        <v>25</v>
      </c>
      <c r="DR16" s="50">
        <v>500</v>
      </c>
    </row>
  </sheetData>
  <phoneticPr fontId="8"/>
  <pageMargins left="0.7" right="0.7" top="0.75" bottom="0.75" header="0.3" footer="0.3"/>
  <pageSetup paperSize="9" scale="82" fitToWidth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0CB-7E49-4A77-BBED-CD21236B41AF}">
  <dimension ref="A1:AE34"/>
  <sheetViews>
    <sheetView zoomScaleNormal="100" zoomScaleSheetLayoutView="10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F9" sqref="F9"/>
    </sheetView>
  </sheetViews>
  <sheetFormatPr defaultRowHeight="18"/>
  <cols>
    <col min="1" max="1" width="15.6640625" style="6" customWidth="1"/>
    <col min="2" max="5" width="10.6640625" style="6" customWidth="1"/>
    <col min="6" max="14" width="8.75" style="6" bestFit="1" customWidth="1"/>
    <col min="15" max="15" width="9.6640625" style="6" bestFit="1" customWidth="1"/>
    <col min="16" max="31" width="8.75" style="6" bestFit="1" customWidth="1"/>
    <col min="32" max="16384" width="8.6640625" style="6"/>
  </cols>
  <sheetData>
    <row r="1" spans="1:31" s="1" customFormat="1">
      <c r="B1" s="31" t="s">
        <v>151</v>
      </c>
      <c r="C1" s="31" t="s">
        <v>152</v>
      </c>
      <c r="D1" s="31" t="s">
        <v>153</v>
      </c>
      <c r="E1" s="31" t="s">
        <v>154</v>
      </c>
      <c r="F1" s="36" t="s">
        <v>210</v>
      </c>
      <c r="G1" s="36" t="s">
        <v>211</v>
      </c>
      <c r="H1" s="36" t="s">
        <v>213</v>
      </c>
      <c r="I1" s="36" t="s">
        <v>215</v>
      </c>
      <c r="J1" s="36" t="s">
        <v>217</v>
      </c>
      <c r="K1" s="36" t="s">
        <v>219</v>
      </c>
      <c r="L1" s="36" t="s">
        <v>221</v>
      </c>
      <c r="M1" s="36" t="s">
        <v>223</v>
      </c>
      <c r="N1" s="36" t="s">
        <v>225</v>
      </c>
      <c r="O1" s="36" t="s">
        <v>227</v>
      </c>
      <c r="P1" s="36" t="s">
        <v>229</v>
      </c>
      <c r="Q1" s="36" t="s">
        <v>231</v>
      </c>
      <c r="R1" s="36" t="s">
        <v>233</v>
      </c>
      <c r="S1" s="36" t="s">
        <v>235</v>
      </c>
      <c r="T1" s="36" t="s">
        <v>237</v>
      </c>
      <c r="U1" s="36" t="s">
        <v>239</v>
      </c>
      <c r="V1" s="36" t="s">
        <v>240</v>
      </c>
      <c r="W1" s="36" t="s">
        <v>242</v>
      </c>
      <c r="X1" s="36" t="s">
        <v>244</v>
      </c>
      <c r="Y1" s="36" t="s">
        <v>246</v>
      </c>
      <c r="Z1" s="36" t="s">
        <v>248</v>
      </c>
      <c r="AA1" s="38" t="s">
        <v>255</v>
      </c>
      <c r="AB1" s="36" t="s">
        <v>250</v>
      </c>
      <c r="AC1" s="36" t="s">
        <v>251</v>
      </c>
      <c r="AD1" s="36" t="s">
        <v>252</v>
      </c>
      <c r="AE1" s="36" t="s">
        <v>254</v>
      </c>
    </row>
    <row r="2" spans="1:31">
      <c r="A2" s="3" t="s">
        <v>15</v>
      </c>
      <c r="B2" s="35">
        <v>358</v>
      </c>
      <c r="C2" s="35">
        <v>6.1</v>
      </c>
      <c r="D2" s="35">
        <v>0.9</v>
      </c>
      <c r="E2" s="32">
        <f>(B2-C2*4-D2*9)/4</f>
        <v>81.375</v>
      </c>
      <c r="F2" s="37">
        <v>1</v>
      </c>
      <c r="G2" s="37">
        <v>89</v>
      </c>
      <c r="H2" s="37">
        <v>5</v>
      </c>
      <c r="I2" s="37">
        <v>23</v>
      </c>
      <c r="J2" s="37">
        <v>95</v>
      </c>
      <c r="K2" s="37">
        <v>0.8</v>
      </c>
      <c r="L2" s="37">
        <v>1.4</v>
      </c>
      <c r="M2" s="37">
        <v>0.22</v>
      </c>
      <c r="N2" s="37">
        <v>0.81</v>
      </c>
      <c r="O2" s="37">
        <v>0</v>
      </c>
      <c r="P2" s="37">
        <v>2</v>
      </c>
      <c r="Q2" s="37">
        <v>0</v>
      </c>
      <c r="R2" s="37">
        <v>69</v>
      </c>
      <c r="S2" s="37">
        <v>0</v>
      </c>
      <c r="T2" s="37">
        <v>0</v>
      </c>
      <c r="U2" s="37">
        <v>0.1</v>
      </c>
      <c r="V2" s="37">
        <v>0</v>
      </c>
      <c r="W2" s="37">
        <v>0.08</v>
      </c>
      <c r="X2" s="37">
        <v>0.02</v>
      </c>
      <c r="Y2" s="37">
        <v>1.2</v>
      </c>
      <c r="Z2" s="37">
        <v>0.12</v>
      </c>
      <c r="AA2" s="37">
        <v>0</v>
      </c>
      <c r="AB2" s="37">
        <v>12</v>
      </c>
      <c r="AC2" s="37">
        <v>0.66</v>
      </c>
      <c r="AD2" s="37">
        <v>1.4</v>
      </c>
      <c r="AE2" s="37">
        <v>0</v>
      </c>
    </row>
    <row r="3" spans="1:31">
      <c r="A3" s="3" t="s">
        <v>16</v>
      </c>
      <c r="B3" s="35">
        <v>368</v>
      </c>
      <c r="C3" s="35">
        <v>9.6999999999999993</v>
      </c>
      <c r="D3" s="35">
        <v>1.8</v>
      </c>
      <c r="E3" s="32">
        <f t="shared" ref="E3:E21" si="0">(B3-C3*4-D3*9)/4</f>
        <v>78.25</v>
      </c>
      <c r="F3" s="37">
        <v>1</v>
      </c>
      <c r="G3" s="37">
        <v>110</v>
      </c>
      <c r="H3" s="37">
        <v>24</v>
      </c>
      <c r="I3" s="37">
        <v>26</v>
      </c>
      <c r="J3" s="37">
        <v>80</v>
      </c>
      <c r="K3" s="37">
        <v>1.1000000000000001</v>
      </c>
      <c r="L3" s="37">
        <v>0.6</v>
      </c>
      <c r="M3" s="37">
        <v>0.14000000000000001</v>
      </c>
      <c r="N3" s="37">
        <v>0.77</v>
      </c>
      <c r="O3" s="37">
        <v>0</v>
      </c>
      <c r="P3" s="37">
        <v>7</v>
      </c>
      <c r="Q3" s="37">
        <v>2</v>
      </c>
      <c r="R3" s="37">
        <v>10</v>
      </c>
      <c r="S3" s="37">
        <v>0</v>
      </c>
      <c r="T3" s="37">
        <v>0</v>
      </c>
      <c r="U3" s="37">
        <v>0.8</v>
      </c>
      <c r="V3" s="37">
        <v>0</v>
      </c>
      <c r="W3" s="37">
        <v>0.22</v>
      </c>
      <c r="X3" s="37">
        <v>0.04</v>
      </c>
      <c r="Y3" s="37">
        <v>1.2</v>
      </c>
      <c r="Z3" s="37">
        <v>7.0000000000000007E-2</v>
      </c>
      <c r="AA3" s="37">
        <v>0</v>
      </c>
      <c r="AB3" s="37">
        <v>12</v>
      </c>
      <c r="AC3" s="37">
        <v>0.66</v>
      </c>
      <c r="AD3" s="37">
        <v>2.6</v>
      </c>
      <c r="AE3" s="37">
        <v>0</v>
      </c>
    </row>
    <row r="4" spans="1:31">
      <c r="A4" s="3" t="s">
        <v>17</v>
      </c>
      <c r="B4" s="35">
        <v>368</v>
      </c>
      <c r="C4" s="35">
        <v>9.6999999999999993</v>
      </c>
      <c r="D4" s="35">
        <v>1.8</v>
      </c>
      <c r="E4" s="32">
        <f t="shared" si="0"/>
        <v>78.25</v>
      </c>
      <c r="F4" s="37">
        <v>1</v>
      </c>
      <c r="G4" s="37">
        <v>110</v>
      </c>
      <c r="H4" s="37">
        <v>24</v>
      </c>
      <c r="I4" s="37">
        <v>26</v>
      </c>
      <c r="J4" s="37">
        <v>80</v>
      </c>
      <c r="K4" s="37">
        <v>1.1000000000000001</v>
      </c>
      <c r="L4" s="37">
        <v>0.6</v>
      </c>
      <c r="M4" s="37">
        <v>0.14000000000000001</v>
      </c>
      <c r="N4" s="37">
        <v>0.77</v>
      </c>
      <c r="O4" s="37">
        <v>0</v>
      </c>
      <c r="P4" s="37">
        <v>7</v>
      </c>
      <c r="Q4" s="37">
        <v>2</v>
      </c>
      <c r="R4" s="37">
        <v>10</v>
      </c>
      <c r="S4" s="37">
        <v>0</v>
      </c>
      <c r="T4" s="37">
        <v>0</v>
      </c>
      <c r="U4" s="37">
        <v>0.8</v>
      </c>
      <c r="V4" s="37">
        <v>0</v>
      </c>
      <c r="W4" s="37">
        <v>0.22</v>
      </c>
      <c r="X4" s="37">
        <v>0.04</v>
      </c>
      <c r="Y4" s="37">
        <v>1.2</v>
      </c>
      <c r="Z4" s="37">
        <v>7.0000000000000007E-2</v>
      </c>
      <c r="AA4" s="37">
        <v>0</v>
      </c>
      <c r="AB4" s="37">
        <v>12</v>
      </c>
      <c r="AC4" s="37">
        <v>0.66</v>
      </c>
      <c r="AD4" s="37">
        <v>2.6</v>
      </c>
      <c r="AE4" s="37">
        <v>0</v>
      </c>
    </row>
    <row r="5" spans="1:31">
      <c r="A5" s="3" t="s">
        <v>18</v>
      </c>
      <c r="B5" s="6">
        <v>329</v>
      </c>
      <c r="C5" s="6">
        <v>6.7</v>
      </c>
      <c r="D5" s="6">
        <v>1.5</v>
      </c>
      <c r="E5" s="32">
        <f t="shared" si="0"/>
        <v>72.174999999999997</v>
      </c>
      <c r="F5" s="37">
        <v>2</v>
      </c>
      <c r="G5" s="37">
        <v>210</v>
      </c>
      <c r="H5" s="37">
        <v>21</v>
      </c>
      <c r="I5" s="37">
        <v>40</v>
      </c>
      <c r="J5" s="37">
        <v>160</v>
      </c>
      <c r="K5" s="37">
        <v>1.1000000000000001</v>
      </c>
      <c r="L5" s="37">
        <v>1.1000000000000001</v>
      </c>
      <c r="M5" s="37">
        <v>0.22</v>
      </c>
      <c r="N5" s="37">
        <v>0.86</v>
      </c>
      <c r="O5" s="37">
        <v>0</v>
      </c>
      <c r="P5" s="37">
        <v>1</v>
      </c>
      <c r="Q5" s="37">
        <v>0</v>
      </c>
      <c r="R5" s="37">
        <v>11</v>
      </c>
      <c r="S5" s="37">
        <v>0</v>
      </c>
      <c r="T5" s="37">
        <v>0</v>
      </c>
      <c r="U5" s="37">
        <v>0.1</v>
      </c>
      <c r="V5" s="37">
        <v>0</v>
      </c>
      <c r="W5" s="37">
        <v>0.11</v>
      </c>
      <c r="X5" s="37">
        <v>0.03</v>
      </c>
      <c r="Y5" s="37">
        <v>3.4</v>
      </c>
      <c r="Z5" s="37">
        <v>0.13</v>
      </c>
      <c r="AA5" s="37">
        <v>0</v>
      </c>
      <c r="AB5" s="37">
        <v>10</v>
      </c>
      <c r="AC5" s="37">
        <v>0.4</v>
      </c>
      <c r="AD5" s="37">
        <v>2.7</v>
      </c>
      <c r="AE5" s="37">
        <v>0</v>
      </c>
    </row>
    <row r="6" spans="1:31">
      <c r="A6" s="3" t="s">
        <v>19</v>
      </c>
      <c r="B6" s="6">
        <v>329</v>
      </c>
      <c r="C6" s="6">
        <v>6.7</v>
      </c>
      <c r="D6" s="6">
        <v>1.5</v>
      </c>
      <c r="E6" s="32">
        <f t="shared" si="0"/>
        <v>72.174999999999997</v>
      </c>
      <c r="F6" s="37">
        <v>2</v>
      </c>
      <c r="G6" s="37">
        <v>210</v>
      </c>
      <c r="H6" s="37">
        <v>21</v>
      </c>
      <c r="I6" s="37">
        <v>40</v>
      </c>
      <c r="J6" s="37">
        <v>160</v>
      </c>
      <c r="K6" s="37">
        <v>1.1000000000000001</v>
      </c>
      <c r="L6" s="37">
        <v>1.1000000000000001</v>
      </c>
      <c r="M6" s="37">
        <v>0.22</v>
      </c>
      <c r="N6" s="37">
        <v>0.86</v>
      </c>
      <c r="O6" s="37">
        <v>0</v>
      </c>
      <c r="P6" s="37">
        <v>1</v>
      </c>
      <c r="Q6" s="37">
        <v>0</v>
      </c>
      <c r="R6" s="37">
        <v>11</v>
      </c>
      <c r="S6" s="37">
        <v>0</v>
      </c>
      <c r="T6" s="37">
        <v>0</v>
      </c>
      <c r="U6" s="37">
        <v>0.1</v>
      </c>
      <c r="V6" s="37">
        <v>0</v>
      </c>
      <c r="W6" s="37">
        <v>0.11</v>
      </c>
      <c r="X6" s="37">
        <v>0.03</v>
      </c>
      <c r="Y6" s="37">
        <v>3.4</v>
      </c>
      <c r="Z6" s="37">
        <v>0.13</v>
      </c>
      <c r="AA6" s="37">
        <v>0</v>
      </c>
      <c r="AB6" s="37">
        <v>10</v>
      </c>
      <c r="AC6" s="37">
        <v>0.4</v>
      </c>
      <c r="AD6" s="37">
        <v>2.7</v>
      </c>
      <c r="AE6" s="37">
        <v>0</v>
      </c>
    </row>
    <row r="7" spans="1:31">
      <c r="A7" s="3" t="s">
        <v>20</v>
      </c>
      <c r="B7" s="6">
        <v>329</v>
      </c>
      <c r="C7" s="6">
        <v>6.7</v>
      </c>
      <c r="D7" s="6">
        <v>1.5</v>
      </c>
      <c r="E7" s="32">
        <f t="shared" si="0"/>
        <v>72.174999999999997</v>
      </c>
      <c r="F7" s="37">
        <v>2</v>
      </c>
      <c r="G7" s="37">
        <v>210</v>
      </c>
      <c r="H7" s="37">
        <v>21</v>
      </c>
      <c r="I7" s="37">
        <v>40</v>
      </c>
      <c r="J7" s="37">
        <v>160</v>
      </c>
      <c r="K7" s="37">
        <v>1.1000000000000001</v>
      </c>
      <c r="L7" s="37">
        <v>1.1000000000000001</v>
      </c>
      <c r="M7" s="37">
        <v>0.22</v>
      </c>
      <c r="N7" s="37">
        <v>0.86</v>
      </c>
      <c r="O7" s="37">
        <v>0</v>
      </c>
      <c r="P7" s="37">
        <v>1</v>
      </c>
      <c r="Q7" s="37">
        <v>0</v>
      </c>
      <c r="R7" s="37">
        <v>11</v>
      </c>
      <c r="S7" s="37">
        <v>0</v>
      </c>
      <c r="T7" s="37">
        <v>0</v>
      </c>
      <c r="U7" s="37">
        <v>0.1</v>
      </c>
      <c r="V7" s="37">
        <v>0</v>
      </c>
      <c r="W7" s="37">
        <v>0.11</v>
      </c>
      <c r="X7" s="37">
        <v>0.03</v>
      </c>
      <c r="Y7" s="37">
        <v>3.4</v>
      </c>
      <c r="Z7" s="37">
        <v>0.13</v>
      </c>
      <c r="AA7" s="37">
        <v>0</v>
      </c>
      <c r="AB7" s="37">
        <v>10</v>
      </c>
      <c r="AC7" s="37">
        <v>0.4</v>
      </c>
      <c r="AD7" s="37">
        <v>2.7</v>
      </c>
      <c r="AE7" s="37">
        <v>0</v>
      </c>
    </row>
    <row r="8" spans="1:31">
      <c r="A8" s="3" t="s">
        <v>21</v>
      </c>
      <c r="B8" s="6">
        <v>348.1</v>
      </c>
      <c r="C8" s="6">
        <v>8.1999999999999993</v>
      </c>
      <c r="D8" s="6">
        <v>2.4</v>
      </c>
      <c r="E8" s="32">
        <f t="shared" si="0"/>
        <v>73.424999999999997</v>
      </c>
      <c r="F8" s="37">
        <v>3</v>
      </c>
      <c r="G8" s="37">
        <v>290</v>
      </c>
      <c r="H8" s="37">
        <v>5</v>
      </c>
      <c r="I8" s="37">
        <v>75</v>
      </c>
      <c r="J8" s="37">
        <v>270</v>
      </c>
      <c r="K8" s="37">
        <v>1.9</v>
      </c>
      <c r="L8" s="37">
        <v>1.7</v>
      </c>
      <c r="M8" s="37">
        <v>0.18</v>
      </c>
      <c r="N8" s="37">
        <v>0</v>
      </c>
      <c r="O8" s="37">
        <v>0</v>
      </c>
      <c r="P8" s="37">
        <v>6</v>
      </c>
      <c r="Q8" s="37">
        <v>0</v>
      </c>
      <c r="R8" s="37">
        <v>20</v>
      </c>
      <c r="S8" s="37">
        <v>150</v>
      </c>
      <c r="T8" s="37">
        <v>0</v>
      </c>
      <c r="U8" s="37">
        <v>1</v>
      </c>
      <c r="V8" s="37">
        <v>0</v>
      </c>
      <c r="W8" s="37">
        <v>0.3</v>
      </c>
      <c r="X8" s="37">
        <v>0.1</v>
      </c>
      <c r="Y8" s="37">
        <v>2</v>
      </c>
      <c r="Z8" s="37">
        <v>0.39</v>
      </c>
      <c r="AA8" s="37">
        <v>0</v>
      </c>
      <c r="AB8" s="37">
        <v>28</v>
      </c>
      <c r="AC8" s="37">
        <v>0.56999999999999995</v>
      </c>
      <c r="AD8" s="37">
        <v>8.3000000000000007</v>
      </c>
      <c r="AE8" s="37">
        <v>0</v>
      </c>
    </row>
    <row r="9" spans="1:31">
      <c r="A9" s="3" t="s">
        <v>22</v>
      </c>
      <c r="B9" s="6">
        <v>348</v>
      </c>
      <c r="C9" s="6">
        <v>9.5</v>
      </c>
      <c r="D9" s="6">
        <v>2.6</v>
      </c>
      <c r="E9" s="32">
        <f t="shared" si="0"/>
        <v>71.650000000000006</v>
      </c>
      <c r="F9" s="37">
        <v>3</v>
      </c>
      <c r="G9" s="37">
        <v>290</v>
      </c>
      <c r="H9" s="37">
        <v>5</v>
      </c>
      <c r="I9" s="37">
        <v>75</v>
      </c>
      <c r="J9" s="37">
        <v>270</v>
      </c>
      <c r="K9" s="37">
        <v>1.9</v>
      </c>
      <c r="L9" s="37">
        <v>1.7</v>
      </c>
      <c r="M9" s="37">
        <v>0.18</v>
      </c>
      <c r="N9" s="37">
        <v>0</v>
      </c>
      <c r="O9" s="37">
        <v>0</v>
      </c>
      <c r="P9" s="37">
        <v>6</v>
      </c>
      <c r="Q9" s="37">
        <v>0</v>
      </c>
      <c r="R9" s="37">
        <v>20</v>
      </c>
      <c r="S9" s="37">
        <v>150</v>
      </c>
      <c r="T9" s="37">
        <v>0</v>
      </c>
      <c r="U9" s="37">
        <v>1</v>
      </c>
      <c r="V9" s="37">
        <v>0</v>
      </c>
      <c r="W9" s="37">
        <v>0.3</v>
      </c>
      <c r="X9" s="37">
        <v>0.1</v>
      </c>
      <c r="Y9" s="37">
        <v>2</v>
      </c>
      <c r="Z9" s="37">
        <v>0.39</v>
      </c>
      <c r="AA9" s="37">
        <v>0</v>
      </c>
      <c r="AB9" s="37">
        <v>28</v>
      </c>
      <c r="AC9" s="37">
        <v>0.56999999999999995</v>
      </c>
      <c r="AD9" s="37">
        <v>8.3000000000000007</v>
      </c>
      <c r="AE9" s="37">
        <v>0</v>
      </c>
    </row>
    <row r="10" spans="1:31">
      <c r="A10" s="3" t="s">
        <v>23</v>
      </c>
      <c r="B10" s="6">
        <v>338.1</v>
      </c>
      <c r="C10" s="6">
        <v>11.7</v>
      </c>
      <c r="D10" s="6">
        <v>3</v>
      </c>
      <c r="E10" s="32">
        <f t="shared" si="0"/>
        <v>66.075000000000003</v>
      </c>
      <c r="F10" s="37">
        <v>2.5</v>
      </c>
      <c r="G10" s="37">
        <v>258.33333333333331</v>
      </c>
      <c r="H10" s="37">
        <v>19.833333333333332</v>
      </c>
      <c r="I10" s="37">
        <v>95.333333333333329</v>
      </c>
      <c r="J10" s="37">
        <v>271.66666666666669</v>
      </c>
      <c r="K10" s="37">
        <v>2.7833333333333328</v>
      </c>
      <c r="L10" s="37">
        <v>2.0999999999999996</v>
      </c>
      <c r="M10" s="37">
        <v>0.32500000000000001</v>
      </c>
      <c r="N10" s="37">
        <v>0.55666666666666675</v>
      </c>
      <c r="O10" s="37">
        <v>0.16666666666666666</v>
      </c>
      <c r="P10" s="37">
        <v>5.5</v>
      </c>
      <c r="Q10" s="37">
        <v>1.3333333333333333</v>
      </c>
      <c r="R10" s="37">
        <v>34.166666666666664</v>
      </c>
      <c r="S10" s="37">
        <v>0</v>
      </c>
      <c r="T10" s="37">
        <v>0</v>
      </c>
      <c r="U10" s="37">
        <v>0.3666666666666667</v>
      </c>
      <c r="V10" s="37">
        <v>0</v>
      </c>
      <c r="W10" s="37">
        <v>0.29333333333333333</v>
      </c>
      <c r="X10" s="37">
        <v>7.3333333333333348E-2</v>
      </c>
      <c r="Y10" s="37">
        <v>2.25</v>
      </c>
      <c r="Z10" s="37">
        <v>7.6666666666666661E-2</v>
      </c>
      <c r="AA10" s="37">
        <v>0</v>
      </c>
      <c r="AB10" s="37">
        <v>28.5</v>
      </c>
      <c r="AC10" s="37">
        <v>1.0433333333333334</v>
      </c>
      <c r="AD10" s="37">
        <v>1.9166666666666667</v>
      </c>
      <c r="AE10" s="37">
        <v>0</v>
      </c>
    </row>
    <row r="11" spans="1:31">
      <c r="A11" s="3" t="s">
        <v>24</v>
      </c>
      <c r="B11" s="35">
        <v>134</v>
      </c>
      <c r="C11" s="35">
        <v>1.2</v>
      </c>
      <c r="D11" s="35">
        <v>0.2</v>
      </c>
      <c r="E11" s="32">
        <f t="shared" si="0"/>
        <v>31.849999999999998</v>
      </c>
      <c r="F11" s="37">
        <v>11</v>
      </c>
      <c r="G11" s="37">
        <v>480</v>
      </c>
      <c r="H11" s="37">
        <v>36</v>
      </c>
      <c r="I11" s="37">
        <v>24</v>
      </c>
      <c r="J11" s="37">
        <v>47</v>
      </c>
      <c r="K11" s="37">
        <v>0.6</v>
      </c>
      <c r="L11" s="37">
        <v>0.2</v>
      </c>
      <c r="M11" s="37">
        <v>0.17</v>
      </c>
      <c r="N11" s="37">
        <v>0.41</v>
      </c>
      <c r="O11" s="37">
        <v>1</v>
      </c>
      <c r="P11" s="37">
        <v>0</v>
      </c>
      <c r="Q11" s="37">
        <v>1</v>
      </c>
      <c r="R11" s="37">
        <v>4</v>
      </c>
      <c r="S11" s="37">
        <v>2</v>
      </c>
      <c r="T11" s="37">
        <v>0</v>
      </c>
      <c r="U11" s="37">
        <v>1.5</v>
      </c>
      <c r="V11" s="37">
        <v>0</v>
      </c>
      <c r="W11" s="37">
        <v>0.11</v>
      </c>
      <c r="X11" s="37">
        <v>0.04</v>
      </c>
      <c r="Y11" s="37">
        <v>0.8</v>
      </c>
      <c r="Z11" s="37">
        <v>0.26</v>
      </c>
      <c r="AA11" s="37">
        <v>0</v>
      </c>
      <c r="AB11" s="37">
        <v>49</v>
      </c>
      <c r="AC11" s="37">
        <v>0.9</v>
      </c>
      <c r="AD11" s="37">
        <v>4.0999999999999996</v>
      </c>
      <c r="AE11" s="37">
        <v>29</v>
      </c>
    </row>
    <row r="12" spans="1:31">
      <c r="A12" s="3" t="s">
        <v>25</v>
      </c>
      <c r="B12" s="35">
        <v>134</v>
      </c>
      <c r="C12" s="35">
        <v>1.2</v>
      </c>
      <c r="D12" s="35">
        <v>0.2</v>
      </c>
      <c r="E12" s="32">
        <f>(B12-C12*4-D12*9)/4</f>
        <v>31.849999999999998</v>
      </c>
      <c r="F12" s="37">
        <v>11</v>
      </c>
      <c r="G12" s="37">
        <v>480</v>
      </c>
      <c r="H12" s="37">
        <v>36</v>
      </c>
      <c r="I12" s="37">
        <v>24</v>
      </c>
      <c r="J12" s="37">
        <v>47</v>
      </c>
      <c r="K12" s="37">
        <v>0.6</v>
      </c>
      <c r="L12" s="37">
        <v>0.2</v>
      </c>
      <c r="M12" s="37">
        <v>0.17</v>
      </c>
      <c r="N12" s="37">
        <v>0.41</v>
      </c>
      <c r="O12" s="37">
        <v>1</v>
      </c>
      <c r="P12" s="37">
        <v>0</v>
      </c>
      <c r="Q12" s="37">
        <v>1</v>
      </c>
      <c r="R12" s="37">
        <v>4</v>
      </c>
      <c r="S12" s="37">
        <v>2</v>
      </c>
      <c r="T12" s="37">
        <v>0</v>
      </c>
      <c r="U12" s="37">
        <v>1.5</v>
      </c>
      <c r="V12" s="37">
        <v>0</v>
      </c>
      <c r="W12" s="37">
        <v>0.11</v>
      </c>
      <c r="X12" s="37">
        <v>0.04</v>
      </c>
      <c r="Y12" s="37">
        <v>0.8</v>
      </c>
      <c r="Z12" s="37">
        <v>0.26</v>
      </c>
      <c r="AA12" s="37">
        <v>0</v>
      </c>
      <c r="AB12" s="37">
        <v>49</v>
      </c>
      <c r="AC12" s="37">
        <v>0.9</v>
      </c>
      <c r="AD12" s="37">
        <v>4.0999999999999996</v>
      </c>
      <c r="AE12" s="37">
        <v>29</v>
      </c>
    </row>
    <row r="13" spans="1:31">
      <c r="A13" s="3" t="s">
        <v>26</v>
      </c>
      <c r="B13" s="35">
        <v>76</v>
      </c>
      <c r="C13" s="35">
        <v>1.6</v>
      </c>
      <c r="D13" s="35">
        <v>0.1</v>
      </c>
      <c r="E13" s="32">
        <f t="shared" si="0"/>
        <v>17.174999999999997</v>
      </c>
      <c r="F13" s="37">
        <v>1</v>
      </c>
      <c r="G13" s="37">
        <v>410</v>
      </c>
      <c r="H13" s="37">
        <v>3</v>
      </c>
      <c r="I13" s="37">
        <v>20</v>
      </c>
      <c r="J13" s="37">
        <v>40</v>
      </c>
      <c r="K13" s="37">
        <v>0.4</v>
      </c>
      <c r="L13" s="37">
        <v>0.2</v>
      </c>
      <c r="M13" s="37">
        <v>0.1</v>
      </c>
      <c r="N13" s="37">
        <v>0.11</v>
      </c>
      <c r="O13" s="37">
        <v>0</v>
      </c>
      <c r="P13" s="37">
        <v>0</v>
      </c>
      <c r="Q13" s="37">
        <v>5</v>
      </c>
      <c r="R13" s="37">
        <v>4</v>
      </c>
      <c r="S13" s="37">
        <v>0</v>
      </c>
      <c r="T13" s="37">
        <v>0</v>
      </c>
      <c r="U13" s="37">
        <v>0</v>
      </c>
      <c r="V13" s="37">
        <v>0</v>
      </c>
      <c r="W13" s="37">
        <v>0.09</v>
      </c>
      <c r="X13" s="37">
        <v>0.03</v>
      </c>
      <c r="Y13" s="37">
        <v>1.3</v>
      </c>
      <c r="Z13" s="37">
        <v>0.18</v>
      </c>
      <c r="AA13" s="37">
        <v>0</v>
      </c>
      <c r="AB13" s="37">
        <v>21</v>
      </c>
      <c r="AC13" s="37">
        <v>0.47</v>
      </c>
      <c r="AD13" s="37">
        <v>0.4</v>
      </c>
      <c r="AE13" s="37">
        <v>35</v>
      </c>
    </row>
    <row r="14" spans="1:31">
      <c r="A14" s="3" t="s">
        <v>27</v>
      </c>
      <c r="B14" s="35">
        <v>76</v>
      </c>
      <c r="C14" s="35">
        <v>1.6</v>
      </c>
      <c r="D14" s="35">
        <v>0.1</v>
      </c>
      <c r="E14" s="32">
        <f t="shared" si="0"/>
        <v>17.174999999999997</v>
      </c>
      <c r="F14" s="37">
        <v>1</v>
      </c>
      <c r="G14" s="37">
        <v>410</v>
      </c>
      <c r="H14" s="37">
        <v>3</v>
      </c>
      <c r="I14" s="37">
        <v>20</v>
      </c>
      <c r="J14" s="37">
        <v>40</v>
      </c>
      <c r="K14" s="37">
        <v>0.4</v>
      </c>
      <c r="L14" s="37">
        <v>0.2</v>
      </c>
      <c r="M14" s="37">
        <v>0.1</v>
      </c>
      <c r="N14" s="37">
        <v>0.11</v>
      </c>
      <c r="O14" s="37">
        <v>0</v>
      </c>
      <c r="P14" s="37">
        <v>0</v>
      </c>
      <c r="Q14" s="37">
        <v>5</v>
      </c>
      <c r="R14" s="37">
        <v>4</v>
      </c>
      <c r="S14" s="37">
        <v>0</v>
      </c>
      <c r="T14" s="37">
        <v>0</v>
      </c>
      <c r="U14" s="37">
        <v>0</v>
      </c>
      <c r="V14" s="37">
        <v>0</v>
      </c>
      <c r="W14" s="37">
        <v>0.09</v>
      </c>
      <c r="X14" s="37">
        <v>0.03</v>
      </c>
      <c r="Y14" s="37">
        <v>1.3</v>
      </c>
      <c r="Z14" s="37">
        <v>0.18</v>
      </c>
      <c r="AA14" s="37">
        <v>0</v>
      </c>
      <c r="AB14" s="37">
        <v>21</v>
      </c>
      <c r="AC14" s="37">
        <v>0.47</v>
      </c>
      <c r="AD14" s="37">
        <v>0.4</v>
      </c>
      <c r="AE14" s="37">
        <v>35</v>
      </c>
    </row>
    <row r="15" spans="1:31">
      <c r="A15" s="3" t="s">
        <v>28</v>
      </c>
      <c r="B15" s="35">
        <v>422</v>
      </c>
      <c r="C15" s="35">
        <v>33.799999999999997</v>
      </c>
      <c r="D15" s="35">
        <v>19.7</v>
      </c>
      <c r="E15" s="32">
        <f t="shared" si="0"/>
        <v>27.375000000000007</v>
      </c>
      <c r="F15" s="37">
        <v>1</v>
      </c>
      <c r="G15" s="37">
        <v>1900</v>
      </c>
      <c r="H15" s="37">
        <v>180</v>
      </c>
      <c r="I15" s="37">
        <v>220</v>
      </c>
      <c r="J15" s="37">
        <v>490</v>
      </c>
      <c r="K15" s="37">
        <v>6.8</v>
      </c>
      <c r="L15" s="37">
        <v>3.1</v>
      </c>
      <c r="M15" s="37">
        <v>1.07</v>
      </c>
      <c r="N15" s="37">
        <v>2.5099999999999998</v>
      </c>
      <c r="O15" s="37">
        <v>0</v>
      </c>
      <c r="P15" s="37">
        <v>5</v>
      </c>
      <c r="Q15" s="37">
        <v>3</v>
      </c>
      <c r="R15" s="37">
        <v>350</v>
      </c>
      <c r="S15" s="37">
        <v>1</v>
      </c>
      <c r="T15" s="37">
        <v>0</v>
      </c>
      <c r="U15" s="37">
        <v>2.2999999999999998</v>
      </c>
      <c r="V15" s="37">
        <v>18</v>
      </c>
      <c r="W15" s="37">
        <v>0.71</v>
      </c>
      <c r="X15" s="37">
        <v>0.26</v>
      </c>
      <c r="Y15" s="37">
        <v>2</v>
      </c>
      <c r="Z15" s="37">
        <v>0.51</v>
      </c>
      <c r="AA15" s="37">
        <v>0</v>
      </c>
      <c r="AB15" s="37">
        <v>260</v>
      </c>
      <c r="AC15" s="37">
        <v>1.36</v>
      </c>
      <c r="AD15" s="37">
        <v>27.5</v>
      </c>
      <c r="AE15" s="37">
        <v>3</v>
      </c>
    </row>
    <row r="16" spans="1:31">
      <c r="A16" s="3" t="s">
        <v>29</v>
      </c>
      <c r="B16" s="35">
        <v>422</v>
      </c>
      <c r="C16" s="35">
        <v>33.799999999999997</v>
      </c>
      <c r="D16" s="35">
        <v>19.7</v>
      </c>
      <c r="E16" s="33">
        <f t="shared" si="0"/>
        <v>27.375000000000007</v>
      </c>
      <c r="F16" s="37">
        <v>1</v>
      </c>
      <c r="G16" s="37">
        <v>1900</v>
      </c>
      <c r="H16" s="37">
        <v>180</v>
      </c>
      <c r="I16" s="37">
        <v>220</v>
      </c>
      <c r="J16" s="37">
        <v>490</v>
      </c>
      <c r="K16" s="37">
        <v>6.8</v>
      </c>
      <c r="L16" s="37">
        <v>3.1</v>
      </c>
      <c r="M16" s="37">
        <v>1.07</v>
      </c>
      <c r="N16" s="37">
        <v>2.5099999999999998</v>
      </c>
      <c r="O16" s="37">
        <v>0</v>
      </c>
      <c r="P16" s="37">
        <v>5</v>
      </c>
      <c r="Q16" s="37">
        <v>3</v>
      </c>
      <c r="R16" s="37">
        <v>350</v>
      </c>
      <c r="S16" s="37">
        <v>1</v>
      </c>
      <c r="T16" s="37">
        <v>0</v>
      </c>
      <c r="U16" s="37">
        <v>2.2999999999999998</v>
      </c>
      <c r="V16" s="37">
        <v>18</v>
      </c>
      <c r="W16" s="37">
        <v>0.71</v>
      </c>
      <c r="X16" s="37">
        <v>0.26</v>
      </c>
      <c r="Y16" s="37">
        <v>2</v>
      </c>
      <c r="Z16" s="37">
        <v>0.51</v>
      </c>
      <c r="AA16" s="37">
        <v>0</v>
      </c>
      <c r="AB16" s="37">
        <v>260</v>
      </c>
      <c r="AC16" s="37">
        <v>1.36</v>
      </c>
      <c r="AD16" s="37">
        <v>27.5</v>
      </c>
      <c r="AE16" s="37">
        <v>3</v>
      </c>
    </row>
    <row r="17" spans="1:31">
      <c r="A17" s="3" t="s">
        <v>30</v>
      </c>
      <c r="B17" s="6">
        <v>384</v>
      </c>
      <c r="C17" s="6">
        <v>22.6</v>
      </c>
      <c r="D17" s="6">
        <v>16.2</v>
      </c>
      <c r="E17" s="33">
        <f t="shared" si="0"/>
        <v>36.95000000000001</v>
      </c>
      <c r="F17" s="37">
        <v>0.7142857142857143</v>
      </c>
      <c r="G17" s="37">
        <v>1252.8571428571429</v>
      </c>
      <c r="H17" s="37">
        <v>118.57142857142857</v>
      </c>
      <c r="I17" s="37">
        <v>152.85714285714286</v>
      </c>
      <c r="J17" s="37">
        <v>365.71428571428572</v>
      </c>
      <c r="K17" s="37">
        <v>4.0857142857142863</v>
      </c>
      <c r="L17" s="37">
        <v>3.0857142857142859</v>
      </c>
      <c r="M17" s="37">
        <v>0.61285714285714288</v>
      </c>
      <c r="N17" s="37">
        <v>0.84857142857142853</v>
      </c>
      <c r="O17" s="37">
        <v>0.14285714285714285</v>
      </c>
      <c r="P17" s="37">
        <v>3.8571428571428572</v>
      </c>
      <c r="Q17" s="37">
        <v>3</v>
      </c>
      <c r="R17" s="37">
        <v>267.14285714285717</v>
      </c>
      <c r="S17" s="37">
        <v>43.285714285714285</v>
      </c>
      <c r="T17" s="37">
        <v>0</v>
      </c>
      <c r="U17" s="37">
        <v>0.2</v>
      </c>
      <c r="V17" s="37">
        <v>20.714285714285715</v>
      </c>
      <c r="W17" s="37">
        <v>0.26</v>
      </c>
      <c r="X17" s="37">
        <v>0.11714285714285713</v>
      </c>
      <c r="Y17" s="37">
        <v>1.6857142857142855</v>
      </c>
      <c r="Z17" s="37">
        <v>0.30142857142857143</v>
      </c>
      <c r="AA17" s="37">
        <v>0</v>
      </c>
      <c r="AB17" s="37">
        <v>210.14285714285714</v>
      </c>
      <c r="AC17" s="37">
        <v>0.90000000000000013</v>
      </c>
      <c r="AD17" s="37">
        <v>4.1142857142857148</v>
      </c>
      <c r="AE17" s="37">
        <v>0.7142857142857143</v>
      </c>
    </row>
    <row r="18" spans="1:31">
      <c r="A18" s="3" t="s">
        <v>31</v>
      </c>
      <c r="B18" s="6">
        <v>27.5</v>
      </c>
      <c r="C18" s="6">
        <v>1.2</v>
      </c>
      <c r="D18" s="6">
        <v>0.2</v>
      </c>
      <c r="E18" s="33">
        <v>5.2249999999999996</v>
      </c>
      <c r="F18" s="37">
        <v>7.2</v>
      </c>
      <c r="G18" s="37">
        <v>233.7</v>
      </c>
      <c r="H18" s="37">
        <v>26.9</v>
      </c>
      <c r="I18" s="37">
        <v>14</v>
      </c>
      <c r="J18" s="37">
        <v>30.7</v>
      </c>
      <c r="K18" s="37">
        <v>0.35</v>
      </c>
      <c r="L18" s="37">
        <v>0.24</v>
      </c>
      <c r="M18" s="37">
        <v>5.6000000000000001E-2</v>
      </c>
      <c r="N18" s="37">
        <v>0.14799999999999999</v>
      </c>
      <c r="O18" s="37">
        <v>1</v>
      </c>
      <c r="P18" s="37">
        <v>0.6</v>
      </c>
      <c r="Q18" s="37">
        <v>0.3</v>
      </c>
      <c r="R18" s="37">
        <v>6.8</v>
      </c>
      <c r="S18" s="37">
        <v>71.8</v>
      </c>
      <c r="T18" s="37">
        <v>0</v>
      </c>
      <c r="U18" s="37">
        <v>0.42</v>
      </c>
      <c r="V18" s="37">
        <v>32.6</v>
      </c>
      <c r="W18" s="37">
        <v>4.5999999999999999E-2</v>
      </c>
      <c r="X18" s="37">
        <v>3.7999999999999999E-2</v>
      </c>
      <c r="Y18" s="37">
        <v>0.43</v>
      </c>
      <c r="Z18" s="37">
        <v>9.6000000000000002E-2</v>
      </c>
      <c r="AA18" s="37">
        <v>0</v>
      </c>
      <c r="AB18" s="37">
        <v>49.3</v>
      </c>
      <c r="AC18" s="37">
        <v>0.25600000000000001</v>
      </c>
      <c r="AD18" s="37">
        <v>1.4</v>
      </c>
      <c r="AE18" s="37">
        <v>18.600000000000001</v>
      </c>
    </row>
    <row r="19" spans="1:31">
      <c r="A19" s="3" t="s">
        <v>32</v>
      </c>
      <c r="B19" s="6">
        <v>48</v>
      </c>
      <c r="C19" s="6">
        <v>0.6</v>
      </c>
      <c r="D19" s="6">
        <v>0.1</v>
      </c>
      <c r="E19" s="33">
        <f t="shared" si="0"/>
        <v>11.175000000000001</v>
      </c>
      <c r="F19" s="37">
        <v>1</v>
      </c>
      <c r="G19" s="37">
        <v>150</v>
      </c>
      <c r="H19" s="37">
        <v>21</v>
      </c>
      <c r="I19" s="37">
        <v>11</v>
      </c>
      <c r="J19" s="37">
        <v>15</v>
      </c>
      <c r="K19" s="37">
        <v>0.2</v>
      </c>
      <c r="L19" s="37">
        <v>0.1</v>
      </c>
      <c r="M19" s="37">
        <v>0.03</v>
      </c>
      <c r="N19" s="37">
        <v>7.0000000000000007E-2</v>
      </c>
      <c r="O19" s="37">
        <v>0</v>
      </c>
      <c r="P19" s="37">
        <v>0</v>
      </c>
      <c r="Q19" s="37">
        <v>0</v>
      </c>
      <c r="R19" s="37">
        <v>0</v>
      </c>
      <c r="S19" s="37">
        <v>1000</v>
      </c>
      <c r="T19" s="37">
        <v>0</v>
      </c>
      <c r="U19" s="37">
        <v>0.4</v>
      </c>
      <c r="V19" s="37">
        <v>0</v>
      </c>
      <c r="W19" s="37">
        <v>0.1</v>
      </c>
      <c r="X19" s="37">
        <v>0.03</v>
      </c>
      <c r="Y19" s="37">
        <v>0.3</v>
      </c>
      <c r="Z19" s="37">
        <v>0.06</v>
      </c>
      <c r="AA19" s="37">
        <v>0</v>
      </c>
      <c r="AB19" s="37">
        <v>22</v>
      </c>
      <c r="AC19" s="37">
        <v>0.23</v>
      </c>
      <c r="AD19" s="37">
        <v>0.5</v>
      </c>
      <c r="AE19" s="37">
        <v>32</v>
      </c>
    </row>
    <row r="20" spans="1:31">
      <c r="A20" s="3" t="s">
        <v>33</v>
      </c>
      <c r="B20" s="6">
        <v>53</v>
      </c>
      <c r="C20" s="6">
        <v>0.1</v>
      </c>
      <c r="D20" s="6">
        <v>0.2</v>
      </c>
      <c r="E20" s="33">
        <f t="shared" si="0"/>
        <v>12.700000000000001</v>
      </c>
      <c r="F20" s="37">
        <v>0</v>
      </c>
      <c r="G20" s="37">
        <v>120</v>
      </c>
      <c r="H20" s="37">
        <v>4</v>
      </c>
      <c r="I20" s="37">
        <v>5</v>
      </c>
      <c r="J20" s="37">
        <v>12</v>
      </c>
      <c r="K20" s="37">
        <v>0.1</v>
      </c>
      <c r="L20" s="37">
        <v>0.1</v>
      </c>
      <c r="M20" s="37">
        <v>0.05</v>
      </c>
      <c r="N20" s="37">
        <v>0.04</v>
      </c>
      <c r="O20" s="37">
        <v>0</v>
      </c>
      <c r="P20" s="37">
        <v>0</v>
      </c>
      <c r="Q20" s="37">
        <v>0</v>
      </c>
      <c r="R20" s="37">
        <v>1</v>
      </c>
      <c r="S20" s="37">
        <v>27</v>
      </c>
      <c r="T20" s="37">
        <v>0</v>
      </c>
      <c r="U20" s="37">
        <v>0.4</v>
      </c>
      <c r="V20" s="37">
        <v>2</v>
      </c>
      <c r="W20" s="37">
        <v>0.02</v>
      </c>
      <c r="X20" s="37">
        <v>0.01</v>
      </c>
      <c r="Y20" s="37">
        <v>0.1</v>
      </c>
      <c r="Z20" s="37">
        <v>0.04</v>
      </c>
      <c r="AA20" s="37">
        <v>0</v>
      </c>
      <c r="AB20" s="37">
        <v>3</v>
      </c>
      <c r="AC20" s="37">
        <v>0.05</v>
      </c>
      <c r="AD20" s="37">
        <v>0.7</v>
      </c>
      <c r="AE20" s="37">
        <v>6</v>
      </c>
    </row>
    <row r="21" spans="1:31">
      <c r="A21" s="3" t="s">
        <v>34</v>
      </c>
      <c r="B21" s="6">
        <v>83.5</v>
      </c>
      <c r="C21" s="6">
        <v>1.4</v>
      </c>
      <c r="D21" s="6">
        <v>2.6</v>
      </c>
      <c r="E21" s="33">
        <f t="shared" si="0"/>
        <v>13.625</v>
      </c>
      <c r="F21" s="37">
        <v>1.3636363636363635</v>
      </c>
      <c r="G21" s="37">
        <v>192.72727272727272</v>
      </c>
      <c r="H21" s="37">
        <v>9.6363636363636367</v>
      </c>
      <c r="I21" s="37">
        <v>8.545454545454545</v>
      </c>
      <c r="J21" s="37">
        <v>16.272727272727273</v>
      </c>
      <c r="K21" s="37">
        <v>0.23636363636363641</v>
      </c>
      <c r="L21" s="37">
        <v>0.11818181818181818</v>
      </c>
      <c r="M21" s="37">
        <v>4.7272727272727272E-2</v>
      </c>
      <c r="N21" s="37">
        <v>3.4545454545454539E-2</v>
      </c>
      <c r="O21" s="37">
        <v>9.0909090909090912E-2</v>
      </c>
      <c r="P21" s="37">
        <v>9.0909090909090912E-2</v>
      </c>
      <c r="Q21" s="37">
        <v>0.18181818181818182</v>
      </c>
      <c r="R21" s="37">
        <v>2</v>
      </c>
      <c r="S21" s="37">
        <v>171.54545454545453</v>
      </c>
      <c r="T21" s="37">
        <v>0</v>
      </c>
      <c r="U21" s="37">
        <v>0.61818181818181805</v>
      </c>
      <c r="V21" s="37">
        <v>2</v>
      </c>
      <c r="W21" s="37">
        <v>2.9999999999999995E-2</v>
      </c>
      <c r="X21" s="37">
        <v>2.0909090909090908E-2</v>
      </c>
      <c r="Y21" s="37">
        <v>0.34545454545454546</v>
      </c>
      <c r="Z21" s="37">
        <v>5.0909090909090911E-2</v>
      </c>
      <c r="AA21" s="37">
        <v>0</v>
      </c>
      <c r="AB21" s="37">
        <v>24.545454545454547</v>
      </c>
      <c r="AC21" s="37">
        <v>0.20545454545454547</v>
      </c>
      <c r="AD21" s="37">
        <v>0.47272727272727272</v>
      </c>
      <c r="AE21" s="37">
        <v>18.454545454545453</v>
      </c>
    </row>
    <row r="22" spans="1:31">
      <c r="A22" s="3" t="s">
        <v>38</v>
      </c>
      <c r="B22" s="6">
        <v>360.2</v>
      </c>
      <c r="C22" s="6">
        <v>0.1</v>
      </c>
      <c r="D22" s="6">
        <v>0.6</v>
      </c>
      <c r="E22" s="3"/>
      <c r="F22" s="37">
        <v>1.25</v>
      </c>
      <c r="G22" s="37">
        <v>22.75</v>
      </c>
      <c r="H22" s="37">
        <v>22.75</v>
      </c>
      <c r="I22" s="37">
        <v>4.75</v>
      </c>
      <c r="J22" s="37">
        <v>16.75</v>
      </c>
      <c r="K22" s="37">
        <v>0.99999999999999989</v>
      </c>
      <c r="L22" s="37">
        <v>0.05</v>
      </c>
      <c r="M22" s="37">
        <v>0.03</v>
      </c>
      <c r="N22" s="37">
        <v>2.2499999999999999E-2</v>
      </c>
      <c r="O22" s="37">
        <v>0.25</v>
      </c>
      <c r="P22" s="37">
        <v>0</v>
      </c>
      <c r="Q22" s="37">
        <v>1.75</v>
      </c>
      <c r="R22" s="37">
        <v>0.5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2.5000000000000001E-2</v>
      </c>
      <c r="AE22" s="37">
        <v>0</v>
      </c>
    </row>
    <row r="23" spans="1:31">
      <c r="A23" s="3" t="s">
        <v>39</v>
      </c>
      <c r="B23" s="35">
        <v>160.1</v>
      </c>
      <c r="C23" s="35">
        <v>19.3</v>
      </c>
      <c r="D23" s="35">
        <v>8.1</v>
      </c>
      <c r="E23" s="3"/>
      <c r="F23" s="37">
        <v>198.06928757337187</v>
      </c>
      <c r="G23" s="37">
        <v>329.12819674756827</v>
      </c>
      <c r="H23" s="37">
        <v>33.002600293232831</v>
      </c>
      <c r="I23" s="37">
        <v>40.044187480346793</v>
      </c>
      <c r="J23" s="37">
        <v>227.96920972422805</v>
      </c>
      <c r="K23" s="37">
        <v>1.4819838514731167</v>
      </c>
      <c r="L23" s="37">
        <v>1.6923617355749079</v>
      </c>
      <c r="M23" s="37">
        <v>0.13583336513896868</v>
      </c>
      <c r="N23" s="37">
        <v>4.9990460282865835E-2</v>
      </c>
      <c r="O23" s="37">
        <v>19.753530198572552</v>
      </c>
      <c r="P23" s="37">
        <v>35.927740846183568</v>
      </c>
      <c r="Q23" s="37">
        <v>0.68753507089328114</v>
      </c>
      <c r="R23" s="37">
        <v>0.1971527989952393</v>
      </c>
      <c r="S23" s="37">
        <v>29.049741454720429</v>
      </c>
      <c r="T23" s="37">
        <v>9.9811877922722445</v>
      </c>
      <c r="U23" s="37">
        <v>1.3895758638604612</v>
      </c>
      <c r="V23" s="37">
        <v>0.61754496464956588</v>
      </c>
      <c r="W23" s="37">
        <v>0.11315547418136936</v>
      </c>
      <c r="X23" s="37">
        <v>0.23917368939699316</v>
      </c>
      <c r="Y23" s="37">
        <v>8.1496444472037837</v>
      </c>
      <c r="Z23" s="37">
        <v>0.4145373582545846</v>
      </c>
      <c r="AA23" s="37">
        <v>10.241433387297006</v>
      </c>
      <c r="AB23" s="37">
        <v>26.274195349330668</v>
      </c>
      <c r="AC23" s="37">
        <v>0.75757891155734958</v>
      </c>
      <c r="AD23" s="37">
        <v>4.6242025051052495</v>
      </c>
      <c r="AE23" s="37">
        <v>1.2407106264357681</v>
      </c>
    </row>
    <row r="24" spans="1:31">
      <c r="A24" s="3" t="s">
        <v>40</v>
      </c>
      <c r="B24" s="35">
        <v>160.5</v>
      </c>
      <c r="C24" s="35">
        <v>29.8</v>
      </c>
      <c r="D24" s="35">
        <v>2.9</v>
      </c>
      <c r="E24" s="3"/>
      <c r="F24" s="37">
        <v>1775.9361707155686</v>
      </c>
      <c r="G24" s="37">
        <v>3979.2206257680309</v>
      </c>
      <c r="H24" s="37">
        <v>335.3914594952264</v>
      </c>
      <c r="I24" s="37">
        <v>465.19862463370833</v>
      </c>
      <c r="J24" s="37">
        <v>546.74673882219497</v>
      </c>
      <c r="K24" s="37">
        <v>8.3143444559977322</v>
      </c>
      <c r="L24" s="37">
        <v>2.759541308252198</v>
      </c>
      <c r="M24" s="37">
        <v>0.45322844786841859</v>
      </c>
      <c r="N24" s="37">
        <v>1.7761581907552699</v>
      </c>
      <c r="O24" s="37">
        <v>43092.213347197277</v>
      </c>
      <c r="P24" s="37">
        <v>5.1230621986955294</v>
      </c>
      <c r="Q24" s="37">
        <v>5.6765998676623504</v>
      </c>
      <c r="R24" s="37">
        <v>64.992473296152752</v>
      </c>
      <c r="S24" s="37">
        <v>2514.3930782682678</v>
      </c>
      <c r="T24" s="37">
        <v>0</v>
      </c>
      <c r="U24" s="37">
        <v>3.1953658190755272</v>
      </c>
      <c r="V24" s="37">
        <v>1842.8661735513756</v>
      </c>
      <c r="W24" s="37">
        <v>0.95972055487286134</v>
      </c>
      <c r="X24" s="37">
        <v>1.9756013091974669</v>
      </c>
      <c r="Y24" s="37">
        <v>9.4552320635220735</v>
      </c>
      <c r="Z24" s="37">
        <v>0.42661191984119484</v>
      </c>
      <c r="AA24" s="37">
        <v>52.143482370734475</v>
      </c>
      <c r="AB24" s="37">
        <v>912.51654220625778</v>
      </c>
      <c r="AC24" s="37">
        <v>0.72298515927781459</v>
      </c>
      <c r="AD24" s="37">
        <v>29.829560922582477</v>
      </c>
      <c r="AE24" s="37">
        <v>115.90780083183667</v>
      </c>
    </row>
    <row r="25" spans="1:31">
      <c r="A25" s="3" t="s">
        <v>41</v>
      </c>
      <c r="B25" s="35">
        <v>384</v>
      </c>
      <c r="C25" s="35">
        <v>0</v>
      </c>
      <c r="D25" s="35">
        <v>0</v>
      </c>
      <c r="E25" s="3"/>
      <c r="F25" s="37">
        <v>1</v>
      </c>
      <c r="G25" s="37">
        <v>2</v>
      </c>
      <c r="H25" s="37">
        <v>1</v>
      </c>
      <c r="I25" s="37">
        <v>0</v>
      </c>
      <c r="J25" s="37">
        <v>0</v>
      </c>
      <c r="K25" s="37">
        <v>0</v>
      </c>
      <c r="L25" s="37">
        <v>0</v>
      </c>
      <c r="M25" s="37">
        <v>0.01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</row>
    <row r="26" spans="1:31">
      <c r="A26" s="3" t="s">
        <v>42</v>
      </c>
      <c r="B26" s="35">
        <v>921</v>
      </c>
      <c r="C26" s="35">
        <v>0</v>
      </c>
      <c r="D26" s="35">
        <v>100</v>
      </c>
      <c r="E26" s="3"/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1</v>
      </c>
      <c r="R26" s="37">
        <v>0</v>
      </c>
      <c r="S26" s="37">
        <v>0</v>
      </c>
      <c r="T26" s="37">
        <v>0</v>
      </c>
      <c r="U26" s="37">
        <v>25.5</v>
      </c>
      <c r="V26" s="37">
        <v>36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</row>
    <row r="27" spans="1:31">
      <c r="A27" s="3" t="s">
        <v>43</v>
      </c>
      <c r="B27" s="6">
        <v>182</v>
      </c>
      <c r="C27" s="6">
        <v>12.5</v>
      </c>
      <c r="D27" s="6">
        <v>6</v>
      </c>
      <c r="E27" s="3"/>
      <c r="F27" s="37">
        <v>4180</v>
      </c>
      <c r="G27" s="37">
        <v>486</v>
      </c>
      <c r="H27" s="37">
        <v>108</v>
      </c>
      <c r="I27" s="37">
        <v>74.400000000000006</v>
      </c>
      <c r="J27" s="37">
        <v>174</v>
      </c>
      <c r="K27" s="37">
        <v>2.9</v>
      </c>
      <c r="L27" s="37">
        <v>0.82000000000000006</v>
      </c>
      <c r="M27" s="37">
        <v>0.38600000000000001</v>
      </c>
      <c r="N27" s="37">
        <v>0</v>
      </c>
      <c r="O27" s="37">
        <v>9.8000000000000007</v>
      </c>
      <c r="P27" s="37">
        <v>8</v>
      </c>
      <c r="Q27" s="37">
        <v>3.2</v>
      </c>
      <c r="R27" s="37">
        <v>48.2</v>
      </c>
      <c r="S27" s="37">
        <v>0</v>
      </c>
      <c r="T27" s="37">
        <v>0</v>
      </c>
      <c r="U27" s="37">
        <v>0.57999999999999996</v>
      </c>
      <c r="V27" s="37">
        <v>11.6</v>
      </c>
      <c r="W27" s="37">
        <v>3.7999999999999999E-2</v>
      </c>
      <c r="X27" s="37">
        <v>2.4E-2</v>
      </c>
      <c r="Y27" s="37">
        <v>1.44</v>
      </c>
      <c r="Z27" s="37">
        <v>0.08</v>
      </c>
      <c r="AA27" s="37">
        <v>0.04</v>
      </c>
      <c r="AB27" s="37">
        <v>44</v>
      </c>
      <c r="AC27" s="37">
        <v>0.16999999999999998</v>
      </c>
      <c r="AD27" s="37">
        <v>2.7600000000000002</v>
      </c>
      <c r="AE27" s="37">
        <v>0</v>
      </c>
    </row>
    <row r="28" spans="1:31">
      <c r="A28" s="3" t="s">
        <v>44</v>
      </c>
      <c r="B28" s="6">
        <v>76</v>
      </c>
      <c r="C28" s="6">
        <v>7.7</v>
      </c>
      <c r="D28" s="6">
        <v>0</v>
      </c>
      <c r="E28" s="3"/>
      <c r="F28" s="37">
        <v>6000</v>
      </c>
      <c r="G28" s="37">
        <v>355</v>
      </c>
      <c r="H28" s="37">
        <v>26.5</v>
      </c>
      <c r="I28" s="37">
        <v>57.5</v>
      </c>
      <c r="J28" s="37">
        <v>145</v>
      </c>
      <c r="K28" s="37">
        <v>1.4</v>
      </c>
      <c r="L28" s="37">
        <v>0.75</v>
      </c>
      <c r="M28" s="37">
        <v>0.01</v>
      </c>
      <c r="N28" s="37">
        <v>0.33</v>
      </c>
      <c r="O28" s="37">
        <v>1</v>
      </c>
      <c r="P28" s="37">
        <v>8.5</v>
      </c>
      <c r="Q28" s="37">
        <v>2.5</v>
      </c>
      <c r="R28" s="37">
        <v>44</v>
      </c>
      <c r="S28" s="37">
        <v>0</v>
      </c>
      <c r="T28" s="37">
        <v>0</v>
      </c>
      <c r="U28" s="37">
        <v>0</v>
      </c>
      <c r="V28" s="37">
        <v>0</v>
      </c>
      <c r="W28" s="37">
        <v>0.05</v>
      </c>
      <c r="X28" s="37">
        <v>0.14000000000000001</v>
      </c>
      <c r="Y28" s="37">
        <v>0.65</v>
      </c>
      <c r="Z28" s="37">
        <v>0.15000000000000002</v>
      </c>
      <c r="AA28" s="37">
        <v>0.1</v>
      </c>
      <c r="AB28" s="37">
        <v>32</v>
      </c>
      <c r="AC28" s="37">
        <v>0.42499999999999999</v>
      </c>
      <c r="AD28" s="37">
        <v>10.350000000000001</v>
      </c>
      <c r="AE28" s="37">
        <v>0</v>
      </c>
    </row>
    <row r="29" spans="1:31">
      <c r="A29" s="3" t="s">
        <v>45</v>
      </c>
      <c r="B29" s="6">
        <v>117.3</v>
      </c>
      <c r="C29" s="6">
        <v>6.9</v>
      </c>
      <c r="D29" s="6">
        <v>4.2</v>
      </c>
      <c r="E29" s="3"/>
      <c r="F29" s="37">
        <v>2.2000000000000002</v>
      </c>
      <c r="G29" s="37">
        <v>316</v>
      </c>
      <c r="H29" s="37">
        <v>1</v>
      </c>
      <c r="I29" s="37">
        <v>11.4</v>
      </c>
      <c r="J29" s="37">
        <v>85.2</v>
      </c>
      <c r="K29" s="37">
        <v>0.33999999999999997</v>
      </c>
      <c r="L29" s="37">
        <v>0.62</v>
      </c>
      <c r="M29" s="37">
        <v>0.12000000000000002</v>
      </c>
      <c r="N29" s="37">
        <v>0.10200000000000001</v>
      </c>
      <c r="O29" s="37">
        <v>0.6</v>
      </c>
      <c r="P29" s="37">
        <v>5</v>
      </c>
      <c r="Q29" s="37">
        <v>0.4</v>
      </c>
      <c r="R29" s="37">
        <v>3</v>
      </c>
      <c r="S29" s="37">
        <v>0</v>
      </c>
      <c r="T29" s="37">
        <v>1.44</v>
      </c>
      <c r="U29" s="37">
        <v>0</v>
      </c>
      <c r="V29" s="37">
        <v>0</v>
      </c>
      <c r="W29" s="37">
        <v>0.10800000000000001</v>
      </c>
      <c r="X29" s="37">
        <v>0.21600000000000003</v>
      </c>
      <c r="Y29" s="37">
        <v>3.12</v>
      </c>
      <c r="Z29" s="37">
        <v>0.122</v>
      </c>
      <c r="AA29" s="37">
        <v>0.02</v>
      </c>
      <c r="AB29" s="37">
        <v>44.8</v>
      </c>
      <c r="AC29" s="37">
        <v>1.0559999999999998</v>
      </c>
      <c r="AD29" s="37">
        <v>4.6399999999999988</v>
      </c>
      <c r="AE29" s="37">
        <v>0</v>
      </c>
    </row>
    <row r="30" spans="1:31">
      <c r="A30" s="11" t="s">
        <v>46</v>
      </c>
      <c r="B30" s="35">
        <v>287.89999999999998</v>
      </c>
      <c r="C30" s="35">
        <v>17</v>
      </c>
      <c r="D30" s="35">
        <v>22.8</v>
      </c>
      <c r="E30" s="6">
        <v>0.2</v>
      </c>
      <c r="F30" s="37">
        <v>54.1</v>
      </c>
      <c r="G30" s="37">
        <v>278.10000000000002</v>
      </c>
      <c r="H30" s="37">
        <v>3.7</v>
      </c>
      <c r="I30" s="37">
        <v>17.8</v>
      </c>
      <c r="J30" s="37">
        <v>148.19999999999999</v>
      </c>
      <c r="K30" s="37">
        <v>1.38</v>
      </c>
      <c r="L30" s="37">
        <v>3.7</v>
      </c>
      <c r="M30" s="37">
        <v>6.4000000000000001E-2</v>
      </c>
      <c r="N30" s="37">
        <v>0</v>
      </c>
      <c r="O30" s="37">
        <v>0</v>
      </c>
      <c r="P30" s="37">
        <v>5</v>
      </c>
      <c r="Q30" s="37">
        <v>0.5</v>
      </c>
      <c r="R30" s="37">
        <v>0</v>
      </c>
      <c r="S30" s="37">
        <v>7.1</v>
      </c>
      <c r="T30" s="37">
        <v>0</v>
      </c>
      <c r="U30" s="37">
        <v>0.49</v>
      </c>
      <c r="V30" s="37">
        <v>7.6</v>
      </c>
      <c r="W30" s="37">
        <v>7.0999999999999994E-2</v>
      </c>
      <c r="X30" s="37">
        <v>0.17</v>
      </c>
      <c r="Y30" s="37">
        <v>4.17</v>
      </c>
      <c r="Z30" s="37">
        <v>0.3</v>
      </c>
      <c r="AA30" s="37">
        <v>1.71</v>
      </c>
      <c r="AB30" s="37">
        <v>6</v>
      </c>
      <c r="AC30" s="37">
        <v>0.85</v>
      </c>
      <c r="AD30" s="37">
        <v>0.66</v>
      </c>
      <c r="AE30" s="37">
        <v>1</v>
      </c>
    </row>
    <row r="31" spans="1:31">
      <c r="A31" s="11" t="s">
        <v>47</v>
      </c>
      <c r="B31" s="35">
        <v>233.8</v>
      </c>
      <c r="C31" s="35">
        <v>18.8</v>
      </c>
      <c r="D31" s="35">
        <v>16.3</v>
      </c>
      <c r="E31" s="6">
        <v>0.1</v>
      </c>
      <c r="F31" s="37">
        <v>50.8</v>
      </c>
      <c r="G31" s="37">
        <v>318.3</v>
      </c>
      <c r="H31" s="37">
        <v>3.9</v>
      </c>
      <c r="I31" s="37">
        <v>21.2</v>
      </c>
      <c r="J31" s="37">
        <v>181</v>
      </c>
      <c r="K31" s="37">
        <v>0.52</v>
      </c>
      <c r="L31" s="37">
        <v>2.2000000000000002</v>
      </c>
      <c r="M31" s="37">
        <v>7.0999999999999994E-2</v>
      </c>
      <c r="N31" s="37">
        <v>0.01</v>
      </c>
      <c r="O31" s="37">
        <v>0.2</v>
      </c>
      <c r="P31" s="37">
        <v>7.7</v>
      </c>
      <c r="Q31" s="37">
        <v>0.5</v>
      </c>
      <c r="R31" s="37">
        <v>0.1</v>
      </c>
      <c r="S31" s="37">
        <v>5.7</v>
      </c>
      <c r="T31" s="37">
        <v>0.2</v>
      </c>
      <c r="U31" s="37">
        <v>0.36</v>
      </c>
      <c r="V31" s="37">
        <v>2.5</v>
      </c>
      <c r="W31" s="37">
        <v>0.73099999999999998</v>
      </c>
      <c r="X31" s="37">
        <v>0.2</v>
      </c>
      <c r="Y31" s="37">
        <v>5.57</v>
      </c>
      <c r="Z31" s="37">
        <v>0.32</v>
      </c>
      <c r="AA31" s="37">
        <v>0.37</v>
      </c>
      <c r="AB31" s="37">
        <v>1.6</v>
      </c>
      <c r="AC31" s="37">
        <v>0.99</v>
      </c>
      <c r="AD31" s="37">
        <v>1.43</v>
      </c>
      <c r="AE31" s="37">
        <v>1.4</v>
      </c>
    </row>
    <row r="32" spans="1:31">
      <c r="A32" s="11" t="s">
        <v>48</v>
      </c>
      <c r="B32" s="35">
        <v>159.80000000000001</v>
      </c>
      <c r="C32" s="35">
        <v>19.8</v>
      </c>
      <c r="D32" s="35">
        <v>8.1</v>
      </c>
      <c r="E32" s="6">
        <v>0</v>
      </c>
      <c r="F32" s="37">
        <v>56.4</v>
      </c>
      <c r="G32" s="37">
        <v>303</v>
      </c>
      <c r="H32" s="37">
        <v>6.3</v>
      </c>
      <c r="I32" s="37">
        <v>23.5</v>
      </c>
      <c r="J32" s="37">
        <v>182.1</v>
      </c>
      <c r="K32" s="37">
        <v>0.51</v>
      </c>
      <c r="L32" s="37">
        <v>1.2</v>
      </c>
      <c r="M32" s="37">
        <v>3.4000000000000002E-2</v>
      </c>
      <c r="N32" s="37">
        <v>0.01</v>
      </c>
      <c r="O32" s="37">
        <v>0.3</v>
      </c>
      <c r="P32" s="37">
        <v>15.6</v>
      </c>
      <c r="Q32" s="37">
        <v>0.3</v>
      </c>
      <c r="R32" s="37">
        <v>2.4</v>
      </c>
      <c r="S32" s="37">
        <v>26.7</v>
      </c>
      <c r="T32" s="37">
        <v>0.2</v>
      </c>
      <c r="U32" s="37">
        <v>0.45</v>
      </c>
      <c r="V32" s="37">
        <v>27.8</v>
      </c>
      <c r="W32" s="37">
        <v>9.4E-2</v>
      </c>
      <c r="X32" s="37">
        <v>0.14000000000000001</v>
      </c>
      <c r="Y32" s="37">
        <v>7.74</v>
      </c>
      <c r="Z32" s="37">
        <v>0.42</v>
      </c>
      <c r="AA32" s="37">
        <v>0.28999999999999998</v>
      </c>
      <c r="AB32" s="37">
        <v>10.9</v>
      </c>
      <c r="AC32" s="37">
        <v>1.4</v>
      </c>
      <c r="AD32" s="37">
        <v>2.94</v>
      </c>
      <c r="AE32" s="37">
        <v>2.6</v>
      </c>
    </row>
    <row r="33" spans="1:31">
      <c r="A33" s="11" t="s">
        <v>49</v>
      </c>
      <c r="B33" s="35">
        <v>151</v>
      </c>
      <c r="C33" s="35">
        <v>12.3</v>
      </c>
      <c r="D33" s="35">
        <v>10.3</v>
      </c>
      <c r="E33" s="6">
        <v>0.3</v>
      </c>
      <c r="F33" s="37">
        <v>140</v>
      </c>
      <c r="G33" s="37">
        <v>130</v>
      </c>
      <c r="H33" s="37">
        <v>51</v>
      </c>
      <c r="I33" s="37">
        <v>11</v>
      </c>
      <c r="J33" s="37">
        <v>180</v>
      </c>
      <c r="K33" s="37">
        <v>1.8</v>
      </c>
      <c r="L33" s="37">
        <v>1.3</v>
      </c>
      <c r="M33" s="37">
        <v>0.08</v>
      </c>
      <c r="N33" s="37">
        <v>0.02</v>
      </c>
      <c r="O33" s="37">
        <v>17</v>
      </c>
      <c r="P33" s="37">
        <v>32</v>
      </c>
      <c r="Q33" s="37">
        <v>0</v>
      </c>
      <c r="R33" s="37">
        <v>5</v>
      </c>
      <c r="S33" s="37">
        <v>150</v>
      </c>
      <c r="T33" s="37">
        <v>1.8</v>
      </c>
      <c r="U33" s="37">
        <v>1</v>
      </c>
      <c r="V33" s="37">
        <v>13</v>
      </c>
      <c r="W33" s="37">
        <v>0.06</v>
      </c>
      <c r="X33" s="37">
        <v>0.43</v>
      </c>
      <c r="Y33" s="37">
        <v>0.1</v>
      </c>
      <c r="Z33" s="37">
        <v>0.08</v>
      </c>
      <c r="AA33" s="37">
        <v>0.9</v>
      </c>
      <c r="AB33" s="37">
        <v>43</v>
      </c>
      <c r="AC33" s="37">
        <v>1.45</v>
      </c>
      <c r="AD33" s="37">
        <v>25.4</v>
      </c>
      <c r="AE33" s="37">
        <v>0</v>
      </c>
    </row>
    <row r="34" spans="1:31">
      <c r="A34" s="11" t="s">
        <v>50</v>
      </c>
      <c r="B34" s="35">
        <v>67</v>
      </c>
      <c r="C34" s="35">
        <v>3.3</v>
      </c>
      <c r="D34" s="35">
        <v>3.8</v>
      </c>
      <c r="E34" s="6">
        <v>4.4000000000000004</v>
      </c>
      <c r="F34" s="37">
        <v>41</v>
      </c>
      <c r="G34" s="37">
        <v>150</v>
      </c>
      <c r="H34" s="37">
        <v>110</v>
      </c>
      <c r="I34" s="37">
        <v>10</v>
      </c>
      <c r="J34" s="37">
        <v>93</v>
      </c>
      <c r="K34" s="37">
        <v>0.02</v>
      </c>
      <c r="L34" s="37">
        <v>0.4</v>
      </c>
      <c r="M34" s="37">
        <v>0.01</v>
      </c>
      <c r="N34" s="37">
        <v>0</v>
      </c>
      <c r="O34" s="37">
        <v>16</v>
      </c>
      <c r="P34" s="37">
        <v>3</v>
      </c>
      <c r="Q34" s="37">
        <v>0</v>
      </c>
      <c r="R34" s="37">
        <v>4</v>
      </c>
      <c r="S34" s="37">
        <v>38</v>
      </c>
      <c r="T34" s="37">
        <v>0.3</v>
      </c>
      <c r="U34" s="37">
        <v>0.1</v>
      </c>
      <c r="V34" s="37">
        <v>2</v>
      </c>
      <c r="W34" s="37">
        <v>0.04</v>
      </c>
      <c r="X34" s="37">
        <v>0.15</v>
      </c>
      <c r="Y34" s="37">
        <v>0.1</v>
      </c>
      <c r="Z34" s="37">
        <v>0.03</v>
      </c>
      <c r="AA34" s="37">
        <v>0.3</v>
      </c>
      <c r="AB34" s="37">
        <v>5</v>
      </c>
      <c r="AC34" s="37">
        <v>0.55000000000000004</v>
      </c>
      <c r="AD34" s="37">
        <v>1.8</v>
      </c>
      <c r="AE34" s="37">
        <v>1</v>
      </c>
    </row>
  </sheetData>
  <phoneticPr fontId="8"/>
  <pageMargins left="0.7" right="0.7" top="0.75" bottom="0.75" header="0.3" footer="0.3"/>
  <pageSetup paperSize="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49F5-A73C-4DE4-9226-5293D617917F}">
  <dimension ref="A1:F34"/>
  <sheetViews>
    <sheetView zoomScaleNormal="100" zoomScaleSheetLayoutView="10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F2" sqref="F2"/>
    </sheetView>
  </sheetViews>
  <sheetFormatPr defaultRowHeight="18"/>
  <cols>
    <col min="1" max="1" width="15.6640625" style="6" customWidth="1"/>
    <col min="2" max="6" width="10.6640625" style="6" customWidth="1"/>
    <col min="7" max="16384" width="8.6640625" style="6"/>
  </cols>
  <sheetData>
    <row r="1" spans="1:6" s="1" customFormat="1">
      <c r="B1" s="1" t="s">
        <v>151</v>
      </c>
      <c r="C1" s="1" t="s">
        <v>152</v>
      </c>
      <c r="D1" s="1" t="s">
        <v>153</v>
      </c>
      <c r="E1" s="30" t="s">
        <v>154</v>
      </c>
      <c r="F1" s="55" t="s">
        <v>270</v>
      </c>
    </row>
    <row r="2" spans="1:6">
      <c r="A2" s="3" t="s">
        <v>15</v>
      </c>
      <c r="B2" s="6">
        <v>476.5</v>
      </c>
      <c r="C2" s="6">
        <v>8.5</v>
      </c>
      <c r="D2" s="6">
        <v>1.3</v>
      </c>
      <c r="E2" s="32">
        <f>(B2-C2*4-D2*9)/4</f>
        <v>107.7</v>
      </c>
      <c r="F2" s="6">
        <v>139.30000000000001</v>
      </c>
    </row>
    <row r="3" spans="1:6">
      <c r="A3" s="3" t="s">
        <v>16</v>
      </c>
      <c r="B3" s="6">
        <v>299.2</v>
      </c>
      <c r="C3" s="6">
        <v>9.1</v>
      </c>
      <c r="D3" s="6">
        <v>1.6</v>
      </c>
      <c r="E3" s="32">
        <f t="shared" ref="E3:E21" si="0">(B3-C3*4-D3*9)/4</f>
        <v>62.1</v>
      </c>
      <c r="F3" s="6">
        <v>86.7</v>
      </c>
    </row>
    <row r="4" spans="1:6">
      <c r="A4" s="3" t="s">
        <v>17</v>
      </c>
      <c r="B4" s="6">
        <v>299.2</v>
      </c>
      <c r="C4" s="6">
        <v>9.1</v>
      </c>
      <c r="D4" s="6">
        <v>1.6</v>
      </c>
      <c r="E4" s="32">
        <f t="shared" si="0"/>
        <v>62.1</v>
      </c>
      <c r="F4" s="6">
        <v>86.7</v>
      </c>
    </row>
    <row r="5" spans="1:6">
      <c r="A5" s="3" t="s">
        <v>18</v>
      </c>
      <c r="B5" s="6">
        <v>2</v>
      </c>
      <c r="C5" s="6">
        <v>0</v>
      </c>
      <c r="D5" s="6">
        <v>0</v>
      </c>
      <c r="E5" s="32">
        <f t="shared" si="0"/>
        <v>0.5</v>
      </c>
      <c r="F5" s="6">
        <v>0.6</v>
      </c>
    </row>
    <row r="6" spans="1:6">
      <c r="A6" s="3" t="s">
        <v>19</v>
      </c>
      <c r="B6" s="6">
        <v>2</v>
      </c>
      <c r="C6" s="6">
        <v>0</v>
      </c>
      <c r="D6" s="6">
        <v>0</v>
      </c>
      <c r="E6" s="32">
        <f t="shared" si="0"/>
        <v>0.5</v>
      </c>
      <c r="F6" s="6">
        <v>0.6</v>
      </c>
    </row>
    <row r="7" spans="1:6">
      <c r="A7" s="3" t="s">
        <v>20</v>
      </c>
      <c r="B7" s="6">
        <v>0.9</v>
      </c>
      <c r="C7" s="6">
        <v>0</v>
      </c>
      <c r="D7" s="6">
        <v>0</v>
      </c>
      <c r="E7" s="32">
        <f t="shared" si="0"/>
        <v>0.22500000000000001</v>
      </c>
      <c r="F7" s="6">
        <v>0.3</v>
      </c>
    </row>
    <row r="8" spans="1:6">
      <c r="A8" s="3" t="s">
        <v>21</v>
      </c>
      <c r="B8" s="6">
        <v>5.2</v>
      </c>
      <c r="C8" s="6">
        <v>0.1</v>
      </c>
      <c r="D8" s="6">
        <v>0</v>
      </c>
      <c r="E8" s="32">
        <f t="shared" si="0"/>
        <v>1.2</v>
      </c>
      <c r="F8" s="6">
        <v>1.5</v>
      </c>
    </row>
    <row r="9" spans="1:6">
      <c r="A9" s="3" t="s">
        <v>22</v>
      </c>
      <c r="B9" s="6">
        <v>0</v>
      </c>
      <c r="C9" s="6">
        <v>0</v>
      </c>
      <c r="D9" s="6">
        <v>0</v>
      </c>
      <c r="E9" s="32">
        <f t="shared" si="0"/>
        <v>0</v>
      </c>
      <c r="F9" s="6">
        <v>0</v>
      </c>
    </row>
    <row r="10" spans="1:6">
      <c r="A10" s="3" t="s">
        <v>23</v>
      </c>
      <c r="B10" s="6">
        <v>6.2</v>
      </c>
      <c r="C10" s="6">
        <v>0.2</v>
      </c>
      <c r="D10" s="6">
        <v>0.1</v>
      </c>
      <c r="E10" s="32">
        <f t="shared" si="0"/>
        <v>1.125</v>
      </c>
      <c r="F10" s="6">
        <v>1.8</v>
      </c>
    </row>
    <row r="11" spans="1:6">
      <c r="A11" s="3" t="s">
        <v>24</v>
      </c>
      <c r="B11" s="6">
        <v>13.3</v>
      </c>
      <c r="C11" s="6">
        <v>0.1</v>
      </c>
      <c r="D11" s="6">
        <v>0</v>
      </c>
      <c r="E11" s="32">
        <f t="shared" si="0"/>
        <v>3.2250000000000001</v>
      </c>
      <c r="F11" s="6">
        <v>10.5</v>
      </c>
    </row>
    <row r="12" spans="1:6">
      <c r="A12" s="3" t="s">
        <v>25</v>
      </c>
      <c r="B12" s="6">
        <v>13.3</v>
      </c>
      <c r="C12" s="6">
        <v>0.1</v>
      </c>
      <c r="D12" s="6">
        <v>0</v>
      </c>
      <c r="E12" s="32">
        <f>(B12-C12*4-D12*9)/4</f>
        <v>3.2250000000000001</v>
      </c>
      <c r="F12" s="6">
        <v>10.5</v>
      </c>
    </row>
    <row r="13" spans="1:6">
      <c r="A13" s="3" t="s">
        <v>26</v>
      </c>
      <c r="B13" s="6">
        <v>27.9</v>
      </c>
      <c r="C13" s="6">
        <v>0.9</v>
      </c>
      <c r="D13" s="6">
        <v>0</v>
      </c>
      <c r="E13" s="32">
        <f t="shared" si="0"/>
        <v>6.0749999999999993</v>
      </c>
      <c r="F13" s="6">
        <v>47.2</v>
      </c>
    </row>
    <row r="14" spans="1:6">
      <c r="A14" s="3" t="s">
        <v>27</v>
      </c>
      <c r="B14" s="6">
        <v>27.9</v>
      </c>
      <c r="C14" s="6">
        <v>0.9</v>
      </c>
      <c r="D14" s="6">
        <v>0</v>
      </c>
      <c r="E14" s="32">
        <f t="shared" si="0"/>
        <v>6.0749999999999993</v>
      </c>
      <c r="F14" s="6">
        <v>47.2</v>
      </c>
    </row>
    <row r="15" spans="1:6">
      <c r="A15" s="3" t="s">
        <v>28</v>
      </c>
      <c r="B15" s="6">
        <v>73.2</v>
      </c>
      <c r="C15" s="6">
        <v>6.1</v>
      </c>
      <c r="D15" s="6">
        <v>3.9</v>
      </c>
      <c r="E15" s="32">
        <f t="shared" si="0"/>
        <v>3.4250000000000007</v>
      </c>
      <c r="F15" s="6">
        <v>18.399999999999999</v>
      </c>
    </row>
    <row r="16" spans="1:6">
      <c r="A16" s="3" t="s">
        <v>29</v>
      </c>
      <c r="B16" s="6">
        <v>73.2</v>
      </c>
      <c r="C16" s="6">
        <v>6.1</v>
      </c>
      <c r="D16" s="6">
        <v>3.9</v>
      </c>
      <c r="E16" s="33">
        <f t="shared" si="0"/>
        <v>3.4250000000000007</v>
      </c>
      <c r="F16" s="6">
        <v>18.399999999999999</v>
      </c>
    </row>
    <row r="17" spans="1:6">
      <c r="A17" s="3" t="s">
        <v>30</v>
      </c>
      <c r="B17" s="6">
        <v>23.7</v>
      </c>
      <c r="C17" s="6">
        <v>1.4</v>
      </c>
      <c r="D17" s="6">
        <v>1</v>
      </c>
      <c r="E17" s="33">
        <f t="shared" si="0"/>
        <v>2.2750000000000004</v>
      </c>
      <c r="F17" s="6">
        <v>6.2</v>
      </c>
    </row>
    <row r="18" spans="1:6">
      <c r="A18" s="3" t="s">
        <v>31</v>
      </c>
      <c r="B18" s="6">
        <v>66.400000000000006</v>
      </c>
      <c r="C18" s="6">
        <v>3</v>
      </c>
      <c r="D18" s="6">
        <v>0.5</v>
      </c>
      <c r="E18" s="33">
        <v>12.475000000000001</v>
      </c>
      <c r="F18" s="6">
        <v>241.4</v>
      </c>
    </row>
    <row r="19" spans="1:6">
      <c r="A19" s="3" t="s">
        <v>32</v>
      </c>
      <c r="B19" s="6">
        <v>4.5</v>
      </c>
      <c r="C19" s="6">
        <v>0.1</v>
      </c>
      <c r="D19" s="6">
        <v>0</v>
      </c>
      <c r="E19" s="33">
        <f t="shared" si="0"/>
        <v>1.0249999999999999</v>
      </c>
      <c r="F19" s="6">
        <v>9.3000000000000007</v>
      </c>
    </row>
    <row r="20" spans="1:6">
      <c r="A20" s="3" t="s">
        <v>33</v>
      </c>
      <c r="B20" s="6">
        <v>11</v>
      </c>
      <c r="C20" s="6">
        <v>0</v>
      </c>
      <c r="D20" s="6">
        <v>0</v>
      </c>
      <c r="E20" s="33">
        <f t="shared" si="0"/>
        <v>2.75</v>
      </c>
      <c r="F20" s="6">
        <v>20.8</v>
      </c>
    </row>
    <row r="21" spans="1:6">
      <c r="A21" s="3" t="s">
        <v>34</v>
      </c>
      <c r="B21" s="6">
        <v>50.7</v>
      </c>
      <c r="C21" s="6">
        <v>0.8</v>
      </c>
      <c r="D21" s="6">
        <v>1.6</v>
      </c>
      <c r="E21" s="33">
        <f t="shared" si="0"/>
        <v>8.2750000000000004</v>
      </c>
      <c r="F21" s="6">
        <v>60.7</v>
      </c>
    </row>
    <row r="22" spans="1:6">
      <c r="A22" s="3" t="s">
        <v>38</v>
      </c>
      <c r="B22" s="6">
        <v>154.5</v>
      </c>
      <c r="C22" s="6">
        <v>0</v>
      </c>
      <c r="D22" s="6">
        <v>0.3</v>
      </c>
      <c r="E22" s="3"/>
      <c r="F22" s="6">
        <v>42.9</v>
      </c>
    </row>
    <row r="23" spans="1:6">
      <c r="A23" s="3" t="s">
        <v>39</v>
      </c>
      <c r="B23" s="6">
        <v>77.900000000000006</v>
      </c>
      <c r="C23" s="6">
        <v>11.6</v>
      </c>
      <c r="D23" s="6">
        <v>3.9</v>
      </c>
      <c r="E23" s="3"/>
      <c r="F23" s="6">
        <v>60.3</v>
      </c>
    </row>
    <row r="24" spans="1:6">
      <c r="A24" s="3" t="s">
        <v>40</v>
      </c>
      <c r="B24" s="6">
        <v>4.7</v>
      </c>
      <c r="C24" s="6">
        <v>0.5</v>
      </c>
      <c r="D24" s="6">
        <v>0.1</v>
      </c>
      <c r="E24" s="3"/>
      <c r="F24" s="6">
        <v>2.1</v>
      </c>
    </row>
    <row r="25" spans="1:6">
      <c r="A25" s="3" t="s">
        <v>41</v>
      </c>
      <c r="B25" s="6">
        <v>182.2</v>
      </c>
      <c r="C25" s="6">
        <v>0</v>
      </c>
      <c r="D25" s="6">
        <v>0</v>
      </c>
      <c r="E25" s="3"/>
      <c r="F25" s="6">
        <v>46.6</v>
      </c>
    </row>
    <row r="26" spans="1:6">
      <c r="A26" s="3" t="s">
        <v>42</v>
      </c>
      <c r="B26" s="6">
        <v>115.7</v>
      </c>
      <c r="C26" s="6">
        <v>0</v>
      </c>
      <c r="D26" s="6">
        <v>13</v>
      </c>
      <c r="E26" s="3"/>
      <c r="F26" s="6">
        <v>13</v>
      </c>
    </row>
    <row r="27" spans="1:6">
      <c r="A27" s="3" t="s">
        <v>43</v>
      </c>
      <c r="B27" s="6">
        <v>17.7</v>
      </c>
      <c r="C27" s="6">
        <v>1.2</v>
      </c>
      <c r="D27" s="6">
        <v>0.6</v>
      </c>
      <c r="E27" s="3"/>
      <c r="F27" s="6">
        <v>9.6999999999999993</v>
      </c>
    </row>
    <row r="28" spans="1:6">
      <c r="A28" s="3" t="s">
        <v>44</v>
      </c>
      <c r="B28" s="6">
        <v>10.8</v>
      </c>
      <c r="C28" s="6">
        <v>1.1000000000000001</v>
      </c>
      <c r="D28" s="6">
        <v>0</v>
      </c>
      <c r="E28" s="3"/>
      <c r="F28" s="6">
        <v>14.2</v>
      </c>
    </row>
    <row r="29" spans="1:6">
      <c r="A29" s="3" t="s">
        <v>45</v>
      </c>
      <c r="B29" s="6">
        <v>14.7</v>
      </c>
      <c r="C29" s="6">
        <v>0.9</v>
      </c>
      <c r="D29" s="6">
        <v>0.5</v>
      </c>
      <c r="E29" s="3"/>
      <c r="F29" s="6">
        <v>12.5</v>
      </c>
    </row>
    <row r="30" spans="1:6">
      <c r="A30" s="11" t="s">
        <v>46</v>
      </c>
      <c r="B30" s="6">
        <v>43.8</v>
      </c>
      <c r="C30" s="6">
        <v>2.8</v>
      </c>
      <c r="D30" s="6">
        <v>3.8</v>
      </c>
      <c r="E30" s="6">
        <v>0</v>
      </c>
      <c r="F30" s="6">
        <v>17</v>
      </c>
    </row>
    <row r="31" spans="1:6">
      <c r="A31" s="11" t="s">
        <v>47</v>
      </c>
      <c r="B31" s="6">
        <v>76.900000000000006</v>
      </c>
      <c r="C31" s="6">
        <v>6.5</v>
      </c>
      <c r="D31" s="6">
        <v>5.8</v>
      </c>
      <c r="E31" s="6">
        <v>0</v>
      </c>
      <c r="F31" s="6">
        <v>35.799999999999997</v>
      </c>
    </row>
    <row r="32" spans="1:6">
      <c r="A32" s="11" t="s">
        <v>48</v>
      </c>
      <c r="B32" s="6">
        <v>58.3</v>
      </c>
      <c r="C32" s="6">
        <v>7.9</v>
      </c>
      <c r="D32" s="6">
        <v>3.2</v>
      </c>
      <c r="E32" s="6">
        <v>0</v>
      </c>
      <c r="F32" s="6">
        <v>39.9</v>
      </c>
    </row>
    <row r="33" spans="1:6">
      <c r="A33" s="11" t="s">
        <v>49</v>
      </c>
      <c r="B33" s="6">
        <v>65.900000000000006</v>
      </c>
      <c r="C33" s="6">
        <v>5.7</v>
      </c>
      <c r="D33" s="6">
        <v>4.7</v>
      </c>
      <c r="E33" s="6">
        <v>0.1</v>
      </c>
      <c r="F33" s="6">
        <v>46.4</v>
      </c>
    </row>
    <row r="34" spans="1:6">
      <c r="A34" s="11" t="s">
        <v>50</v>
      </c>
      <c r="B34" s="6">
        <v>162.1</v>
      </c>
      <c r="C34" s="6">
        <v>8.1999999999999993</v>
      </c>
      <c r="D34" s="6">
        <v>9.5</v>
      </c>
      <c r="E34" s="6">
        <v>11.3</v>
      </c>
      <c r="F34" s="6">
        <v>257.3</v>
      </c>
    </row>
  </sheetData>
  <phoneticPr fontId="8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</vt:i4>
      </vt:variant>
    </vt:vector>
  </HeadingPairs>
  <TitlesOfParts>
    <vt:vector size="21" baseType="lpstr">
      <vt:lpstr>Index</vt:lpstr>
      <vt:lpstr>sval</vt:lpstr>
      <vt:lpstr>prod_alt</vt:lpstr>
      <vt:lpstr>land_endw</vt:lpstr>
      <vt:lpstr>land_dsrt</vt:lpstr>
      <vt:lpstr>head</vt:lpstr>
      <vt:lpstr>fdemand</vt:lpstr>
      <vt:lpstr>fsupply</vt:lpstr>
      <vt:lpstr>fconst_imp</vt:lpstr>
      <vt:lpstr>edemand</vt:lpstr>
      <vt:lpstr>esupply</vt:lpstr>
      <vt:lpstr>fertcoef</vt:lpstr>
      <vt:lpstr>ldemand_c</vt:lpstr>
      <vt:lpstr>ldemand_l</vt:lpstr>
      <vt:lpstr>pop</vt:lpstr>
      <vt:lpstr>intake</vt:lpstr>
      <vt:lpstr>nvalue</vt:lpstr>
      <vt:lpstr>npcvalue</vt:lpstr>
      <vt:lpstr>npcvalue!Print_Area</vt:lpstr>
      <vt:lpstr>nvalue!Print_Area</vt:lpstr>
      <vt:lpstr>prod_alt!Print_Area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2026-06-08T06:43:52Z</dcterms:modified>
</cp:coreProperties>
</file>